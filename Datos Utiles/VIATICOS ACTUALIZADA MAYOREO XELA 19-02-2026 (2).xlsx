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D:\TRABAJO\MAYOREO\VIATICOS 2026\"/>
    </mc:Choice>
  </mc:AlternateContent>
  <xr:revisionPtr revIDLastSave="0" documentId="13_ncr:1_{5E4A9FE6-C67B-41F6-BEE8-5374B958E339}" xr6:coauthVersionLast="47" xr6:coauthVersionMax="47" xr10:uidLastSave="{00000000-0000-0000-0000-000000000000}"/>
  <bookViews>
    <workbookView xWindow="-120" yWindow="-120" windowWidth="29040" windowHeight="15840" activeTab="2" xr2:uid="{00000000-000D-0000-FFFF-FFFF00000000}"/>
  </bookViews>
  <sheets>
    <sheet name="Ruta10" sheetId="1" r:id="rId1"/>
    <sheet name="Ruta14" sheetId="2" r:id="rId2"/>
    <sheet name="Ruta12" sheetId="4" r:id="rId3"/>
    <sheet name="Ruta13" sheetId="5" r:id="rId4"/>
    <sheet name="TABLA DE VIATICOS" sheetId="6" r:id="rId5"/>
    <sheet name="SUPERVISOR" sheetId="8" r:id="rId6"/>
    <sheet name="VIATICOS DE LA SEMANA " sheetId="11" r:id="rId7"/>
    <sheet name="viaciones" sheetId="14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32" i="4" l="1"/>
  <c r="L11" i="4"/>
  <c r="I11" i="4"/>
  <c r="M11" i="4" s="1"/>
  <c r="L51" i="5"/>
  <c r="L50" i="5"/>
  <c r="L49" i="5"/>
  <c r="L48" i="5"/>
  <c r="L47" i="5"/>
  <c r="L41" i="5"/>
  <c r="L40" i="5"/>
  <c r="L39" i="5"/>
  <c r="L38" i="5"/>
  <c r="L37" i="5"/>
  <c r="L26" i="5"/>
  <c r="L25" i="5"/>
  <c r="L24" i="5"/>
  <c r="L23" i="5"/>
  <c r="L22" i="5"/>
  <c r="L16" i="5"/>
  <c r="L15" i="5"/>
  <c r="L14" i="5"/>
  <c r="L13" i="5"/>
  <c r="L12" i="5"/>
  <c r="L22" i="4"/>
  <c r="L21" i="4"/>
  <c r="L20" i="4"/>
  <c r="L19" i="4"/>
  <c r="L18" i="4"/>
  <c r="L13" i="4"/>
  <c r="L12" i="4"/>
  <c r="L10" i="4"/>
  <c r="L9" i="4"/>
  <c r="L33" i="2"/>
  <c r="L32" i="2"/>
  <c r="L31" i="2"/>
  <c r="L30" i="2"/>
  <c r="L28" i="2"/>
  <c r="L23" i="2"/>
  <c r="L22" i="2"/>
  <c r="L21" i="2"/>
  <c r="L20" i="2"/>
  <c r="L19" i="2"/>
  <c r="L42" i="1"/>
  <c r="L43" i="1"/>
  <c r="K44" i="1"/>
  <c r="J44" i="1"/>
  <c r="H44" i="1"/>
  <c r="K37" i="1" s="1"/>
  <c r="L37" i="1" s="1"/>
  <c r="M37" i="1" s="1"/>
  <c r="I43" i="1"/>
  <c r="M43" i="1" s="1"/>
  <c r="I42" i="1"/>
  <c r="I41" i="1"/>
  <c r="M41" i="1" s="1"/>
  <c r="I40" i="1"/>
  <c r="M40" i="1" s="1"/>
  <c r="I39" i="1"/>
  <c r="L34" i="1"/>
  <c r="K34" i="1"/>
  <c r="J34" i="1"/>
  <c r="H34" i="1"/>
  <c r="K27" i="1" s="1"/>
  <c r="L27" i="1" s="1"/>
  <c r="M27" i="1" s="1"/>
  <c r="I33" i="1"/>
  <c r="M33" i="1" s="1"/>
  <c r="I32" i="1"/>
  <c r="M32" i="1" s="1"/>
  <c r="I31" i="1"/>
  <c r="M31" i="1" s="1"/>
  <c r="I30" i="1"/>
  <c r="M30" i="1" s="1"/>
  <c r="I29" i="1"/>
  <c r="M29" i="1" s="1"/>
  <c r="L24" i="1"/>
  <c r="K24" i="1"/>
  <c r="J24" i="1"/>
  <c r="H24" i="1"/>
  <c r="K17" i="1" s="1"/>
  <c r="L17" i="1" s="1"/>
  <c r="M17" i="1" s="1"/>
  <c r="I23" i="1"/>
  <c r="M23" i="1" s="1"/>
  <c r="I22" i="1"/>
  <c r="M22" i="1" s="1"/>
  <c r="I21" i="1"/>
  <c r="M21" i="1" s="1"/>
  <c r="I20" i="1"/>
  <c r="M20" i="1" s="1"/>
  <c r="I19" i="1"/>
  <c r="L14" i="1"/>
  <c r="K14" i="1"/>
  <c r="J14" i="1"/>
  <c r="H14" i="1"/>
  <c r="K7" i="1" s="1"/>
  <c r="L7" i="1" s="1"/>
  <c r="M7" i="1" s="1"/>
  <c r="I13" i="1"/>
  <c r="M13" i="1" s="1"/>
  <c r="I12" i="1"/>
  <c r="M12" i="1" s="1"/>
  <c r="I11" i="1"/>
  <c r="M11" i="1" s="1"/>
  <c r="I10" i="1"/>
  <c r="M10" i="1" s="1"/>
  <c r="I9" i="1"/>
  <c r="I44" i="1" l="1"/>
  <c r="I14" i="1"/>
  <c r="I34" i="1"/>
  <c r="I24" i="1"/>
  <c r="L44" i="1"/>
  <c r="M9" i="1"/>
  <c r="M14" i="1" s="1"/>
  <c r="C6" i="6" s="1"/>
  <c r="M42" i="1"/>
  <c r="M34" i="1"/>
  <c r="E6" i="6" s="1"/>
  <c r="M39" i="1"/>
  <c r="M19" i="1"/>
  <c r="M24" i="1" s="1"/>
  <c r="D6" i="6" s="1"/>
  <c r="M44" i="1" l="1"/>
  <c r="F6" i="6" s="1"/>
  <c r="L34" i="2"/>
  <c r="J34" i="2"/>
  <c r="H34" i="2"/>
  <c r="L8" i="14" l="1"/>
  <c r="L7" i="14"/>
  <c r="L6" i="14"/>
  <c r="L5" i="14"/>
  <c r="L4" i="14"/>
  <c r="K56" i="11" l="1"/>
  <c r="J56" i="11"/>
  <c r="I56" i="11"/>
  <c r="G56" i="11"/>
  <c r="J49" i="11" s="1"/>
  <c r="K49" i="11" s="1"/>
  <c r="L49" i="11" s="1"/>
  <c r="H55" i="11"/>
  <c r="L55" i="11" s="1"/>
  <c r="H54" i="11"/>
  <c r="L54" i="11" s="1"/>
  <c r="H53" i="11"/>
  <c r="L53" i="11" s="1"/>
  <c r="H52" i="11"/>
  <c r="L52" i="11" s="1"/>
  <c r="H51" i="11"/>
  <c r="H56" i="11" l="1"/>
  <c r="L51" i="11"/>
  <c r="L56" i="11" s="1"/>
  <c r="G40" i="11"/>
  <c r="H40" i="11" s="1"/>
  <c r="L40" i="11" s="1"/>
  <c r="G33" i="11"/>
  <c r="K33" i="11"/>
  <c r="M34" i="11"/>
  <c r="K44" i="11"/>
  <c r="J44" i="11"/>
  <c r="I44" i="11"/>
  <c r="G44" i="11"/>
  <c r="J37" i="11" s="1"/>
  <c r="K37" i="11" s="1"/>
  <c r="L37" i="11" s="1"/>
  <c r="H43" i="11"/>
  <c r="L43" i="11" s="1"/>
  <c r="H42" i="11"/>
  <c r="L42" i="11" s="1"/>
  <c r="H41" i="11"/>
  <c r="L41" i="11" s="1"/>
  <c r="H39" i="11"/>
  <c r="J33" i="11"/>
  <c r="I33" i="11"/>
  <c r="L32" i="11"/>
  <c r="H31" i="11"/>
  <c r="L31" i="11" s="1"/>
  <c r="H30" i="11"/>
  <c r="L30" i="11" s="1"/>
  <c r="H29" i="11"/>
  <c r="L29" i="11" s="1"/>
  <c r="H28" i="11"/>
  <c r="J26" i="11"/>
  <c r="K26" i="11" s="1"/>
  <c r="L26" i="11" s="1"/>
  <c r="K22" i="11"/>
  <c r="J22" i="11"/>
  <c r="I22" i="11"/>
  <c r="G21" i="11"/>
  <c r="H21" i="11" s="1"/>
  <c r="L21" i="11" s="1"/>
  <c r="G20" i="11"/>
  <c r="G22" i="11" s="1"/>
  <c r="J15" i="11" s="1"/>
  <c r="K15" i="11" s="1"/>
  <c r="L15" i="11" s="1"/>
  <c r="H19" i="11"/>
  <c r="L19" i="11" s="1"/>
  <c r="H17" i="11"/>
  <c r="K11" i="11"/>
  <c r="J11" i="11"/>
  <c r="I11" i="11"/>
  <c r="G11" i="11"/>
  <c r="H10" i="11"/>
  <c r="L10" i="11" s="1"/>
  <c r="H9" i="11"/>
  <c r="L9" i="11" s="1"/>
  <c r="H8" i="11"/>
  <c r="L8" i="11" s="1"/>
  <c r="H7" i="11"/>
  <c r="L7" i="11" s="1"/>
  <c r="H6" i="11"/>
  <c r="K4" i="11"/>
  <c r="L4" i="11" s="1"/>
  <c r="H33" i="11" l="1"/>
  <c r="H11" i="11"/>
  <c r="H44" i="11"/>
  <c r="L39" i="11"/>
  <c r="L44" i="11" s="1"/>
  <c r="L28" i="11"/>
  <c r="L33" i="11" s="1"/>
  <c r="H20" i="11"/>
  <c r="L20" i="11" s="1"/>
  <c r="L17" i="11"/>
  <c r="L6" i="11"/>
  <c r="L11" i="11" s="1"/>
  <c r="M11" i="11" s="1"/>
  <c r="L26" i="8"/>
  <c r="K26" i="8"/>
  <c r="J26" i="8"/>
  <c r="I25" i="8"/>
  <c r="M25" i="8" s="1"/>
  <c r="I24" i="8"/>
  <c r="M24" i="8" s="1"/>
  <c r="I23" i="8"/>
  <c r="M23" i="8" s="1"/>
  <c r="I22" i="8"/>
  <c r="M22" i="8" s="1"/>
  <c r="I21" i="8"/>
  <c r="L19" i="8"/>
  <c r="M19" i="8" s="1"/>
  <c r="L22" i="11" l="1"/>
  <c r="H22" i="11"/>
  <c r="I26" i="8"/>
  <c r="M21" i="8"/>
  <c r="M26" i="8" s="1"/>
  <c r="H26" i="8"/>
  <c r="H10" i="8" l="1"/>
  <c r="I10" i="8" s="1"/>
  <c r="M10" i="8" s="1"/>
  <c r="L15" i="8"/>
  <c r="K15" i="8"/>
  <c r="J15" i="8"/>
  <c r="I14" i="8"/>
  <c r="M14" i="8" s="1"/>
  <c r="I13" i="8"/>
  <c r="M13" i="8" s="1"/>
  <c r="I12" i="8"/>
  <c r="M12" i="8" s="1"/>
  <c r="H15" i="8" l="1"/>
  <c r="K8" i="8"/>
  <c r="L8" i="8" s="1"/>
  <c r="M8" i="8" s="1"/>
  <c r="I11" i="8"/>
  <c r="M11" i="8" s="1"/>
  <c r="M15" i="8" s="1"/>
  <c r="I15" i="8" l="1"/>
  <c r="C5" i="6"/>
  <c r="F5" i="6" s="1"/>
  <c r="F4" i="6"/>
  <c r="E4" i="6"/>
  <c r="D4" i="6"/>
  <c r="C4" i="6"/>
  <c r="L52" i="5"/>
  <c r="K52" i="5"/>
  <c r="J52" i="5"/>
  <c r="H52" i="5"/>
  <c r="I51" i="5"/>
  <c r="M51" i="5" s="1"/>
  <c r="I50" i="5"/>
  <c r="M50" i="5" s="1"/>
  <c r="I49" i="5"/>
  <c r="M49" i="5" s="1"/>
  <c r="I48" i="5"/>
  <c r="I47" i="5"/>
  <c r="M47" i="5" s="1"/>
  <c r="L45" i="5"/>
  <c r="M45" i="5" s="1"/>
  <c r="L42" i="5"/>
  <c r="K42" i="5"/>
  <c r="J42" i="5"/>
  <c r="H42" i="5"/>
  <c r="I41" i="5"/>
  <c r="M41" i="5" s="1"/>
  <c r="I40" i="5"/>
  <c r="M40" i="5" s="1"/>
  <c r="I39" i="5"/>
  <c r="M39" i="5" s="1"/>
  <c r="I38" i="5"/>
  <c r="I37" i="5"/>
  <c r="M37" i="5" s="1"/>
  <c r="K35" i="5"/>
  <c r="L35" i="5" s="1"/>
  <c r="M35" i="5" s="1"/>
  <c r="L27" i="5"/>
  <c r="K27" i="5"/>
  <c r="J27" i="5"/>
  <c r="H27" i="5"/>
  <c r="I26" i="5"/>
  <c r="M26" i="5" s="1"/>
  <c r="I25" i="5"/>
  <c r="M25" i="5" s="1"/>
  <c r="I24" i="5"/>
  <c r="M24" i="5" s="1"/>
  <c r="I23" i="5"/>
  <c r="M23" i="5" s="1"/>
  <c r="I22" i="5"/>
  <c r="L20" i="5"/>
  <c r="M20" i="5" s="1"/>
  <c r="L17" i="5"/>
  <c r="K17" i="5"/>
  <c r="J17" i="5"/>
  <c r="H17" i="5"/>
  <c r="I16" i="5"/>
  <c r="M16" i="5" s="1"/>
  <c r="I15" i="5"/>
  <c r="M15" i="5" s="1"/>
  <c r="I14" i="5"/>
  <c r="M14" i="5" s="1"/>
  <c r="I13" i="5"/>
  <c r="I12" i="5"/>
  <c r="M12" i="5" s="1"/>
  <c r="L10" i="5"/>
  <c r="M10" i="5" s="1"/>
  <c r="C9" i="6" l="1"/>
  <c r="C11" i="6" s="1"/>
  <c r="F9" i="6"/>
  <c r="F11" i="6" s="1"/>
  <c r="I17" i="5"/>
  <c r="I27" i="5"/>
  <c r="I42" i="5"/>
  <c r="I52" i="5"/>
  <c r="M13" i="5"/>
  <c r="M17" i="5" s="1"/>
  <c r="M22" i="5"/>
  <c r="M27" i="5" s="1"/>
  <c r="M48" i="5"/>
  <c r="M52" i="5" s="1"/>
  <c r="M38" i="5"/>
  <c r="M42" i="5" s="1"/>
  <c r="H33" i="4" l="1"/>
  <c r="I28" i="4"/>
  <c r="M28" i="4" s="1"/>
  <c r="L23" i="4"/>
  <c r="J23" i="4"/>
  <c r="H23" i="4"/>
  <c r="K23" i="4"/>
  <c r="I22" i="4"/>
  <c r="M22" i="4" s="1"/>
  <c r="I21" i="4"/>
  <c r="M21" i="4" s="1"/>
  <c r="I20" i="4"/>
  <c r="M20" i="4" s="1"/>
  <c r="I18" i="4"/>
  <c r="M18" i="4" s="1"/>
  <c r="K16" i="4" l="1"/>
  <c r="L16" i="4" s="1"/>
  <c r="M16" i="4" s="1"/>
  <c r="I19" i="4"/>
  <c r="I9" i="4"/>
  <c r="M9" i="4" s="1"/>
  <c r="K26" i="4"/>
  <c r="L26" i="4" s="1"/>
  <c r="M26" i="4" s="1"/>
  <c r="M19" i="4" l="1"/>
  <c r="M23" i="4" s="1"/>
  <c r="D5" i="6" s="1"/>
  <c r="D9" i="6" s="1"/>
  <c r="D11" i="6" s="1"/>
  <c r="I23" i="4"/>
  <c r="L33" i="4"/>
  <c r="K33" i="4"/>
  <c r="J33" i="4"/>
  <c r="I32" i="4"/>
  <c r="M32" i="4" s="1"/>
  <c r="I31" i="4"/>
  <c r="M31" i="4" s="1"/>
  <c r="I30" i="4"/>
  <c r="M30" i="4" s="1"/>
  <c r="I29" i="4"/>
  <c r="L14" i="4"/>
  <c r="K14" i="4"/>
  <c r="J14" i="4"/>
  <c r="H14" i="4"/>
  <c r="K7" i="4" s="1"/>
  <c r="L7" i="4" s="1"/>
  <c r="M7" i="4" s="1"/>
  <c r="I13" i="4"/>
  <c r="M13" i="4" s="1"/>
  <c r="I12" i="4"/>
  <c r="M12" i="4" s="1"/>
  <c r="I10" i="4"/>
  <c r="M10" i="4" s="1"/>
  <c r="K34" i="2"/>
  <c r="I33" i="2"/>
  <c r="M33" i="2" s="1"/>
  <c r="I32" i="2"/>
  <c r="M32" i="2" s="1"/>
  <c r="I31" i="2"/>
  <c r="M31" i="2" s="1"/>
  <c r="I30" i="2"/>
  <c r="M30" i="2" s="1"/>
  <c r="I28" i="2"/>
  <c r="L26" i="2"/>
  <c r="M26" i="2" s="1"/>
  <c r="L24" i="2"/>
  <c r="K24" i="2"/>
  <c r="J24" i="2"/>
  <c r="H24" i="2"/>
  <c r="I23" i="2"/>
  <c r="M23" i="2" s="1"/>
  <c r="I22" i="2"/>
  <c r="M22" i="2" s="1"/>
  <c r="I21" i="2"/>
  <c r="M21" i="2" s="1"/>
  <c r="I20" i="2"/>
  <c r="M20" i="2" s="1"/>
  <c r="I19" i="2"/>
  <c r="M19" i="2" s="1"/>
  <c r="L17" i="2"/>
  <c r="M17" i="2" s="1"/>
  <c r="L15" i="2"/>
  <c r="K15" i="2"/>
  <c r="J15" i="2"/>
  <c r="H15" i="2"/>
  <c r="I14" i="2"/>
  <c r="M14" i="2" s="1"/>
  <c r="M13" i="2"/>
  <c r="I13" i="2"/>
  <c r="I12" i="2"/>
  <c r="M12" i="2" s="1"/>
  <c r="I11" i="2"/>
  <c r="M11" i="2" s="1"/>
  <c r="I10" i="2"/>
  <c r="M10" i="2" s="1"/>
  <c r="K8" i="2"/>
  <c r="L8" i="2" s="1"/>
  <c r="M8" i="2" s="1"/>
  <c r="M28" i="2" l="1"/>
  <c r="M34" i="2" s="1"/>
  <c r="I34" i="2"/>
  <c r="I24" i="2"/>
  <c r="M29" i="4"/>
  <c r="M33" i="4" s="1"/>
  <c r="E5" i="6" s="1"/>
  <c r="E9" i="6" s="1"/>
  <c r="E11" i="6" s="1"/>
  <c r="I33" i="4"/>
  <c r="M14" i="4"/>
  <c r="I14" i="4"/>
  <c r="M15" i="2"/>
  <c r="M24" i="2"/>
  <c r="I15" i="2"/>
</calcChain>
</file>

<file path=xl/sharedStrings.xml><?xml version="1.0" encoding="utf-8"?>
<sst xmlns="http://schemas.openxmlformats.org/spreadsheetml/2006/main" count="488" uniqueCount="178">
  <si>
    <t>PLANIFICACION SEMANAL</t>
  </si>
  <si>
    <t>VENDEDOR</t>
  </si>
  <si>
    <t>RUTA</t>
  </si>
  <si>
    <t>XELA CENTRO</t>
  </si>
  <si>
    <t>SUPERVISOR</t>
  </si>
  <si>
    <t>SEMANA 1</t>
  </si>
  <si>
    <t>kilometro promedios recorridos</t>
  </si>
  <si>
    <t xml:space="preserve">Kilometros </t>
  </si>
  <si>
    <t>Costo Gasolina</t>
  </si>
  <si>
    <t>Hotel</t>
  </si>
  <si>
    <t>Peaje</t>
  </si>
  <si>
    <t xml:space="preserve">Comida </t>
  </si>
  <si>
    <t>Totales</t>
  </si>
  <si>
    <t xml:space="preserve">LUNES </t>
  </si>
  <si>
    <t xml:space="preserve">MARTES </t>
  </si>
  <si>
    <t xml:space="preserve">MIERCOLES </t>
  </si>
  <si>
    <t xml:space="preserve">JUEVES </t>
  </si>
  <si>
    <t xml:space="preserve">VIERNES </t>
  </si>
  <si>
    <t>SEMANA 2</t>
  </si>
  <si>
    <t>Edie Alfonso Natareno Calderón</t>
  </si>
  <si>
    <t>XELA ESTE O ESTE</t>
  </si>
  <si>
    <t>Monumento al migrante, Moreria, San Cristobal, San Andrés Xecul y 4 Caminos</t>
  </si>
  <si>
    <t>San Francisco, La Cumbre, Santa Maria y Momostenango</t>
  </si>
  <si>
    <t>De 4 Camiones hasta Gobernación de Totonicapan</t>
  </si>
  <si>
    <t>Totonicapan</t>
  </si>
  <si>
    <t>Totonicapan, Nimasac y Pasac 1</t>
  </si>
  <si>
    <t>Palestina, Chamac hasta San Pedro, Aldeas aledañas a estos lugares</t>
  </si>
  <si>
    <t>San Pedro y San Marcos</t>
  </si>
  <si>
    <t>San Marcos</t>
  </si>
  <si>
    <t>SEMANA 3</t>
  </si>
  <si>
    <t>San Marcos Esquipulas, San Rafael Pie de la Cuesta, El Tumbador, Rodeo</t>
  </si>
  <si>
    <t xml:space="preserve">San Pablo, Malacatán, aldeas aledañas a los lugares mencionados </t>
  </si>
  <si>
    <t>Malacatàn, san jose petacalapa , el carmen, santa ana</t>
  </si>
  <si>
    <t>catarina, limones, ocos, tecun uman</t>
  </si>
  <si>
    <t>Tecùn Ùman parte 2, Nuevo Progreso, el sitio, zanjon san lorenzo</t>
  </si>
  <si>
    <t>SALDO</t>
  </si>
  <si>
    <t xml:space="preserve"> </t>
  </si>
  <si>
    <t>XELA SUR</t>
  </si>
  <si>
    <t xml:space="preserve">Peaje </t>
  </si>
  <si>
    <t>San Felipe, San Martin, San Sebastián, Quetzaltenango</t>
  </si>
  <si>
    <t>Xela nor oriente</t>
  </si>
  <si>
    <t>SACAPULAS CUNEN USPANTAN UNO</t>
  </si>
  <si>
    <t>USPANTAN DOS  NEBAJ  SAN PEDRO JOCOPILAS</t>
  </si>
  <si>
    <t>CHICHE CHINIQUE ZACUALPA  JOYABAJ</t>
  </si>
  <si>
    <t>SAN ANTONIO ILOTENAGO ZONA 4 TERMINAL,</t>
  </si>
  <si>
    <t>QUICHE ZONAS 1, 2, 3,5, CHICHICASTENANGO</t>
  </si>
  <si>
    <t>SEMANA 2----HUEHUETENANGO</t>
  </si>
  <si>
    <t>San Sebastian, Colotenango, Ixtahuacan, Cuilco</t>
  </si>
  <si>
    <t>San Pedro Necta, El Cable, Cambojayito, Camoja</t>
  </si>
  <si>
    <t>La Democracia, Sta. Rosa de Lima, La Mesilla</t>
  </si>
  <si>
    <t>Cuatro Caminos, Nenton, Sta. Ana</t>
  </si>
  <si>
    <t>SEMANA 3era----SOLOLÁ</t>
  </si>
  <si>
    <t>Nahuala, San Juan, Santa Cruz y Santa Clara La Laguna</t>
  </si>
  <si>
    <t>San Pedro La Laguna, El Novillero Ruta Interamericana hasta los Encuentros</t>
  </si>
  <si>
    <t>Las Trampas, Aldea Las Canoas, Godinez, San Lucas, Santiago Atitlàn</t>
  </si>
  <si>
    <t>Sololà Centro, Concepciòn, Aldea Las Margaritas</t>
  </si>
  <si>
    <t>Rancho de Teja, Pologua, Tierra Blanca, Chiquival, Estancia de la Virgen</t>
  </si>
  <si>
    <t>Malacantancito, San Lorenzo 1, Ojechejel, Terminal y Zona 5</t>
  </si>
  <si>
    <t>Cambote Sectores 1 y 2, Chimusinique</t>
  </si>
  <si>
    <t>Cambote Sectores 3,4,5,6,7</t>
  </si>
  <si>
    <t>Chinaca, Chiantla, Aguacatan</t>
  </si>
  <si>
    <t>SEMANA 4</t>
  </si>
  <si>
    <t>tecun uman, pajapita</t>
  </si>
  <si>
    <t>FRANCISCO JAVIER SALAZAR</t>
  </si>
  <si>
    <t>EDIE NATARENO</t>
  </si>
  <si>
    <t>SAN ANTONIO, SANTO TOMAS, SAN PABLO JOCOLOPILAS MAZATENANGO</t>
  </si>
  <si>
    <t>MAZATENANGO</t>
  </si>
  <si>
    <t>MAZATENANGO, SAMAYAC,   MAZATENANGO</t>
  </si>
  <si>
    <t>CHICACAO, SAN MIGUEL PANAM, NAHUALATE , SAN JOSE EL IDOLO SAN BERNARDINO MAZATENANGO</t>
  </si>
  <si>
    <t>CUYOTENANGO, LA MAQUINA 1 Y 2,  TULATE, REU</t>
  </si>
  <si>
    <t>RETALHULEU</t>
  </si>
  <si>
    <t>CHAMPERICO, CABALLO BLANCO</t>
  </si>
  <si>
    <t>QUETZALTENANGO, CONCEPCION, SAN MARTIN CHILE VERDE COLOMBA COATEPQUE</t>
  </si>
  <si>
    <t>COATEPEQUE</t>
  </si>
  <si>
    <t>COATEPEQUE, SIBANA, XAB, FLORES GENOVA, RETALHULEU</t>
  </si>
  <si>
    <t xml:space="preserve">COATEPEQUE, LA UNION, LAS PALMAS  </t>
  </si>
  <si>
    <t>ZONA 2</t>
  </si>
  <si>
    <t>ZONA 5</t>
  </si>
  <si>
    <t xml:space="preserve">SALCAJA </t>
  </si>
  <si>
    <t>ZONA 4</t>
  </si>
  <si>
    <t>ZONA 1</t>
  </si>
  <si>
    <t>SALIDA  Y  ALMOLONGA</t>
  </si>
  <si>
    <t xml:space="preserve">FABRICA DE CANTEL-CANTEL </t>
  </si>
  <si>
    <t xml:space="preserve">REU, SANTA CRUZ MULUA, SAN MARTIN ZAPOTITLAN,  QUETZALTENANGO </t>
  </si>
  <si>
    <t>ZUNIL  SANTA MARIA  DE JESUS</t>
  </si>
  <si>
    <t>ZONA 3</t>
  </si>
  <si>
    <t>ZONA 8 Y 9</t>
  </si>
  <si>
    <t>ZONA 10 Y LLANOS DEL PINAL</t>
  </si>
  <si>
    <t>LA ESPERANZA ZONA 4, SAN MATEO, CAJOLA</t>
  </si>
  <si>
    <t>ZONA 6 Y 7</t>
  </si>
  <si>
    <t>LA ESPERANZA ZONA 1 Y 2</t>
  </si>
  <si>
    <t>SAN JUAN OSTUNCALCO</t>
  </si>
  <si>
    <t>OLINTEPEQUE -SIJA, SAN FRANCISCO LA UNION</t>
  </si>
  <si>
    <t>JUAN CARLOS</t>
  </si>
  <si>
    <t>SEMANA 1----HUEHUETENANGO</t>
  </si>
  <si>
    <t>SEMANA 4----QUICHÉ</t>
  </si>
  <si>
    <t>TECUN UMAN</t>
  </si>
  <si>
    <t>IVAN FLORES</t>
  </si>
  <si>
    <t>ALLAN SANTOS</t>
  </si>
  <si>
    <t>IVAN FLORES/SUPERVISOR</t>
  </si>
  <si>
    <t xml:space="preserve">TOTONICAPAN </t>
  </si>
  <si>
    <t>COATEPEQUE-XELA-COATEPEQUE</t>
  </si>
  <si>
    <t>TOTONICAPAN SALIDA A QUICHE TOTO CENTRO CHUJUYUP</t>
  </si>
  <si>
    <t>SANTA MARÍA CHIQUIMULA MOMOSTENANGO SAN FRANCISCO ZONA 3 XELA</t>
  </si>
  <si>
    <t xml:space="preserve">LLANOS DEL PINAL SALCAJA SAN ANDRÉS XECUL SAN CRISTÓBAL CUATRO CAMINOS </t>
  </si>
  <si>
    <t xml:space="preserve">LA ESPERANZA ZONA 4, SAN MATEO TOTONICAPAN </t>
  </si>
  <si>
    <t>Ivan</t>
  </si>
  <si>
    <t>Edie</t>
  </si>
  <si>
    <t>Allan</t>
  </si>
  <si>
    <t xml:space="preserve">Javier </t>
  </si>
  <si>
    <t>Juan Carlos</t>
  </si>
  <si>
    <t>lunes</t>
  </si>
  <si>
    <t>martes</t>
  </si>
  <si>
    <t>miércoles</t>
  </si>
  <si>
    <t>jueves</t>
  </si>
  <si>
    <t>viernes</t>
  </si>
  <si>
    <t>DIAS GOZADOS DE PERIODO VACIONAL /MARZO 2020</t>
  </si>
  <si>
    <t>NOMBRE/DIAS</t>
  </si>
  <si>
    <t>TOTAL</t>
  </si>
  <si>
    <t>Lunes</t>
  </si>
  <si>
    <t>Martes</t>
  </si>
  <si>
    <t>Miercoles</t>
  </si>
  <si>
    <t>sabado</t>
  </si>
  <si>
    <t xml:space="preserve"> MARVIN COLOP</t>
  </si>
  <si>
    <t>MARVIN COLOP</t>
  </si>
  <si>
    <t>CAMBIO REALIZADO 15/7/2023, OLINTEPE Y SIJA SE PASARA EL DIA MIERCOLES</t>
  </si>
  <si>
    <t>PARA REALIZAR ENTREGAS EL DIA JUEVES DE LA SIGUIENTE SEMANA JUNTO A HUITAN Y CABRICAN</t>
  </si>
  <si>
    <t>LA RUTA SALE DE MIERCOLES A JUEVES</t>
  </si>
  <si>
    <t>SE DESPACHA LO QUE COLOP VENDA HASTA EL DIA MIERCOLES, LO QUE VENDE EL JUEVES QUEDA  PARA EL SIGUIENTE JUEVES</t>
  </si>
  <si>
    <t xml:space="preserve"> ZONA 10 Y LLANOS DEL PINAL</t>
  </si>
  <si>
    <t>SAN MIGUEL SIGUILA , SIBILIA,HITAN , CABRICAN</t>
  </si>
  <si>
    <t>CONCEPCION CHIQUIRICHAPA SAN MARTIN CHILE VERDE</t>
  </si>
  <si>
    <t xml:space="preserve">SEMANA 1 </t>
  </si>
  <si>
    <t>LUNES</t>
  </si>
  <si>
    <t>MARTES</t>
  </si>
  <si>
    <t>MIÉRCOLES</t>
  </si>
  <si>
    <t>JUEVES</t>
  </si>
  <si>
    <t>VIERNES</t>
  </si>
  <si>
    <t xml:space="preserve">Semana 1 </t>
  </si>
  <si>
    <t>Semana 2</t>
  </si>
  <si>
    <t>Semana 3</t>
  </si>
  <si>
    <t>Semana 4</t>
  </si>
  <si>
    <t>Lunes - zona 2     17.2km</t>
  </si>
  <si>
    <t>Lunes-zona 4.   20km</t>
  </si>
  <si>
    <t>Lunes-zona 3.     Km24</t>
  </si>
  <si>
    <t>Lunes-6y7.       32km</t>
  </si>
  <si>
    <t>Martes-zona 2.     17.2km</t>
  </si>
  <si>
    <t>Martes-zona    24km</t>
  </si>
  <si>
    <t>Martes-zona 3.   Km24</t>
  </si>
  <si>
    <t>Martes-la esperanza.  42km</t>
  </si>
  <si>
    <t xml:space="preserve">Miércoles-san carlos sija </t>
  </si>
  <si>
    <t>Miércoles-Cantel    6km</t>
  </si>
  <si>
    <t>Miércoles- llanos del pinal  34km</t>
  </si>
  <si>
    <t>Miércoles- San Juan ostu        58km</t>
  </si>
  <si>
    <t>La única, Olintepeque-  68km</t>
  </si>
  <si>
    <t>Jueves- almolonga.   24km</t>
  </si>
  <si>
    <t>Jueves- zona 8y9.     28km</t>
  </si>
  <si>
    <t>Jueves-cabrican.     Km 53</t>
  </si>
  <si>
    <t>Jueves- salcaja.   24km</t>
  </si>
  <si>
    <t>Viernes - zunil.       15.6km</t>
  </si>
  <si>
    <t>Viernes- cajola.          66km</t>
  </si>
  <si>
    <t>Viernes- Chiquirichapa cantel. Km 65</t>
  </si>
  <si>
    <t>Viernes-zona 5.    13.6 km</t>
  </si>
  <si>
    <t>WALTER HERNANDEZ</t>
  </si>
  <si>
    <t>MICHAEL CILAS</t>
  </si>
  <si>
    <t>Nota:</t>
  </si>
  <si>
    <t>Tomar en cuenta que cada monto asignado en los viaticos son exclusivamente para el concepto asignado, no pueden usarse en coceptos diferentes</t>
  </si>
  <si>
    <t>En caso que se reciba una sola factura por desayuno y habitacion debe venir desgosada por concepto</t>
  </si>
  <si>
    <t>Por aparte este viaticos serán revisados basados en el traquin que obligatoria debe reportar el usuario, en caso no se encuentrre datos en el traking</t>
  </si>
  <si>
    <t>y no se tenga reporte o explicación validad con anticipación los viaticos de ese no serán aplicados.</t>
  </si>
  <si>
    <t>pendiente</t>
  </si>
  <si>
    <t>San Marcos - Retorno</t>
  </si>
  <si>
    <t>Coatepeque</t>
  </si>
  <si>
    <t>Salida</t>
  </si>
  <si>
    <t>NUEVO SAN CARLOS Y EL ASINTAL - Retorno</t>
  </si>
  <si>
    <t>San Antonio, Jacaltenango - Retorno</t>
  </si>
  <si>
    <t>QUICHE ZONAS 1, 2, 3,5, - Retorno</t>
  </si>
  <si>
    <t>Panajachel, El Tablòn, San Lucìa Utatlàn-Chupol, Chichicastenango -Retorno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</si>
</sst>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Q&quot;* #,##0.00_-;\-&quot;Q&quot;* #,##0.00_-;_-&quot;Q&quot;* &quot;-&quot;??_-;_-@_-"/>
    <numFmt numFmtId="164" formatCode="_-&quot;Q&quot;* #,##0.00_-;\-&quot;Q&quot;* #,##0.00_-;_-&quot;Q&quot;* &quot;-&quot;??_-;_-@"/>
    <numFmt numFmtId="165" formatCode="_-* #,##0.00_-;\-* #,##0.00_-;_-* &quot;-&quot;??_-;_-@"/>
    <numFmt numFmtId="166" formatCode="_-&quot;Q&quot;* #,##0_-;\-&quot;Q&quot;* #,##0_-;_-&quot;Q&quot;* &quot;-&quot;??_-;_-@"/>
  </numFmts>
  <fonts count="26" x14ac:knownFonts="1">
    <font>
      <sz val="11"/>
      <color rgb="FF000000"/>
      <name val="Calibri"/>
    </font>
    <font>
      <sz val="26"/>
      <color rgb="FFFFFF00"/>
      <name val="Calibri"/>
      <family val="2"/>
    </font>
    <font>
      <sz val="11"/>
      <name val="Calibri"/>
      <family val="2"/>
    </font>
    <font>
      <b/>
      <sz val="11"/>
      <color rgb="FFFFFF00"/>
      <name val="Calibri"/>
      <family val="2"/>
    </font>
    <font>
      <sz val="11"/>
      <color rgb="FFFFFF00"/>
      <name val="Calibri"/>
      <family val="2"/>
    </font>
    <font>
      <sz val="11"/>
      <name val="Calibri"/>
      <family val="2"/>
    </font>
    <font>
      <b/>
      <sz val="11"/>
      <color rgb="FF000000"/>
      <name val="Calibri"/>
      <family val="2"/>
    </font>
    <font>
      <sz val="10"/>
      <color rgb="FFFFFF00"/>
      <name val="Calibri"/>
      <family val="2"/>
    </font>
    <font>
      <sz val="11"/>
      <color rgb="FF000000"/>
      <name val="Bookman Old Style"/>
      <family val="1"/>
    </font>
    <font>
      <b/>
      <sz val="11"/>
      <color rgb="FF000000"/>
      <name val="Bookman Old Style"/>
      <family val="1"/>
    </font>
    <font>
      <sz val="12"/>
      <color rgb="FF000000"/>
      <name val="Bookman Old Style"/>
      <family val="1"/>
    </font>
    <font>
      <b/>
      <sz val="12"/>
      <color rgb="FF000000"/>
      <name val="Bookman Old Style"/>
      <family val="1"/>
    </font>
    <font>
      <sz val="11"/>
      <color rgb="FF000000"/>
      <name val="Calibri"/>
      <family val="2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26"/>
      <color rgb="FFFFFF00"/>
      <name val="Calibri"/>
      <family val="2"/>
      <scheme val="minor"/>
    </font>
    <font>
      <b/>
      <sz val="11"/>
      <color rgb="FFFFFF00"/>
      <name val="Calibri"/>
      <family val="2"/>
      <scheme val="minor"/>
    </font>
    <font>
      <b/>
      <sz val="14"/>
      <color rgb="FFFFFF00"/>
      <name val="Calibri"/>
      <family val="2"/>
      <scheme val="minor"/>
    </font>
    <font>
      <sz val="11"/>
      <color rgb="FFFFFF00"/>
      <name val="Calibri"/>
      <family val="2"/>
      <scheme val="minor"/>
    </font>
    <font>
      <sz val="11"/>
      <name val="Calibri"/>
      <family val="2"/>
      <scheme val="minor"/>
    </font>
    <font>
      <b/>
      <u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b/>
      <sz val="11"/>
      <color rgb="FF000000"/>
      <name val="Calibri"/>
      <family val="2"/>
    </font>
    <font>
      <sz val="11"/>
      <color rgb="FFFFFF00"/>
      <name val="Calibri"/>
      <family val="2"/>
    </font>
    <font>
      <b/>
      <sz val="11"/>
      <name val="Calibri"/>
      <family val="2"/>
    </font>
  </fonts>
  <fills count="24">
    <fill>
      <patternFill patternType="none"/>
    </fill>
    <fill>
      <patternFill patternType="gray125"/>
    </fill>
    <fill>
      <patternFill patternType="solid">
        <fgColor rgb="FF0070C0"/>
        <bgColor rgb="FF0070C0"/>
      </patternFill>
    </fill>
    <fill>
      <patternFill patternType="solid">
        <fgColor rgb="FFFFFF00"/>
        <bgColor rgb="FFFFFF00"/>
      </patternFill>
    </fill>
    <fill>
      <patternFill patternType="solid">
        <fgColor rgb="FFED7D31"/>
        <bgColor rgb="FFED7D31"/>
      </patternFill>
    </fill>
    <fill>
      <patternFill patternType="solid">
        <fgColor rgb="FF92D050"/>
        <bgColor rgb="FF92D050"/>
      </patternFill>
    </fill>
    <fill>
      <patternFill patternType="solid">
        <fgColor rgb="FF2E75B5"/>
        <bgColor rgb="FF2E75B5"/>
      </patternFill>
    </fill>
    <fill>
      <patternFill patternType="solid">
        <fgColor rgb="FFFFD965"/>
        <bgColor rgb="FFFFD965"/>
      </patternFill>
    </fill>
    <fill>
      <patternFill patternType="solid">
        <fgColor rgb="FFF7CAAC"/>
        <bgColor rgb="FFF7CAAC"/>
      </patternFill>
    </fill>
    <fill>
      <patternFill patternType="solid">
        <fgColor rgb="FFF4B083"/>
        <bgColor rgb="FFF4B083"/>
      </patternFill>
    </fill>
    <fill>
      <patternFill patternType="solid">
        <fgColor rgb="FFC5E0B3"/>
        <bgColor rgb="FFC5E0B3"/>
      </patternFill>
    </fill>
    <fill>
      <patternFill patternType="solid">
        <fgColor rgb="FFFFE598"/>
        <bgColor rgb="FFFFE598"/>
      </patternFill>
    </fill>
    <fill>
      <patternFill patternType="solid">
        <fgColor rgb="FFBDD6EE"/>
        <bgColor rgb="FFBDD6EE"/>
      </patternFill>
    </fill>
    <fill>
      <patternFill patternType="solid">
        <fgColor rgb="FFADB9CA"/>
        <bgColor rgb="FFADB9CA"/>
      </patternFill>
    </fill>
    <fill>
      <patternFill patternType="solid">
        <fgColor rgb="FF7F7F7F"/>
        <bgColor rgb="FF7F7F7F"/>
      </patternFill>
    </fill>
    <fill>
      <patternFill patternType="solid">
        <fgColor rgb="FF00B0F0"/>
        <bgColor rgb="FF00B0F0"/>
      </patternFill>
    </fill>
    <fill>
      <patternFill patternType="solid">
        <fgColor rgb="FF0070C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/>
        <bgColor indexed="64"/>
      </patternFill>
    </fill>
  </fills>
  <borders count="60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/>
      <right style="medium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44" fontId="12" fillId="0" borderId="0" applyFont="0" applyFill="0" applyBorder="0" applyAlignment="0" applyProtection="0"/>
  </cellStyleXfs>
  <cellXfs count="206">
    <xf numFmtId="0" fontId="0" fillId="0" borderId="0" xfId="0"/>
    <xf numFmtId="164" fontId="0" fillId="0" borderId="0" xfId="0" applyNumberFormat="1"/>
    <xf numFmtId="0" fontId="3" fillId="2" borderId="4" xfId="0" applyFont="1" applyFill="1" applyBorder="1"/>
    <xf numFmtId="0" fontId="6" fillId="0" borderId="0" xfId="0" applyFont="1"/>
    <xf numFmtId="164" fontId="6" fillId="0" borderId="0" xfId="0" applyNumberFormat="1" applyFont="1"/>
    <xf numFmtId="0" fontId="6" fillId="5" borderId="12" xfId="0" applyFont="1" applyFill="1" applyBorder="1" applyAlignment="1">
      <alignment horizontal="center"/>
    </xf>
    <xf numFmtId="0" fontId="4" fillId="6" borderId="4" xfId="0" applyFont="1" applyFill="1" applyBorder="1"/>
    <xf numFmtId="2" fontId="6" fillId="7" borderId="13" xfId="0" applyNumberFormat="1" applyFont="1" applyFill="1" applyBorder="1"/>
    <xf numFmtId="164" fontId="6" fillId="7" borderId="13" xfId="0" applyNumberFormat="1" applyFont="1" applyFill="1" applyBorder="1"/>
    <xf numFmtId="0" fontId="6" fillId="5" borderId="20" xfId="0" applyFont="1" applyFill="1" applyBorder="1" applyAlignment="1">
      <alignment horizontal="center"/>
    </xf>
    <xf numFmtId="0" fontId="4" fillId="6" borderId="24" xfId="0" applyFont="1" applyFill="1" applyBorder="1"/>
    <xf numFmtId="0" fontId="4" fillId="6" borderId="26" xfId="0" applyFont="1" applyFill="1" applyBorder="1"/>
    <xf numFmtId="0" fontId="2" fillId="0" borderId="0" xfId="0" applyFont="1"/>
    <xf numFmtId="165" fontId="0" fillId="0" borderId="0" xfId="0" applyNumberFormat="1"/>
    <xf numFmtId="0" fontId="8" fillId="0" borderId="0" xfId="0" applyFont="1"/>
    <xf numFmtId="164" fontId="8" fillId="0" borderId="0" xfId="0" applyNumberFormat="1" applyFont="1"/>
    <xf numFmtId="164" fontId="10" fillId="0" borderId="0" xfId="0" applyNumberFormat="1" applyFont="1"/>
    <xf numFmtId="164" fontId="11" fillId="9" borderId="4" xfId="0" applyNumberFormat="1" applyFont="1" applyFill="1" applyBorder="1" applyAlignment="1">
      <alignment horizontal="center"/>
    </xf>
    <xf numFmtId="164" fontId="11" fillId="3" borderId="31" xfId="0" applyNumberFormat="1" applyFont="1" applyFill="1" applyBorder="1" applyAlignment="1">
      <alignment horizontal="center"/>
    </xf>
    <xf numFmtId="164" fontId="10" fillId="10" borderId="4" xfId="0" applyNumberFormat="1" applyFont="1" applyFill="1" applyBorder="1"/>
    <xf numFmtId="164" fontId="10" fillId="3" borderId="13" xfId="0" applyNumberFormat="1" applyFont="1" applyFill="1" applyBorder="1"/>
    <xf numFmtId="164" fontId="10" fillId="11" borderId="4" xfId="0" applyNumberFormat="1" applyFont="1" applyFill="1" applyBorder="1"/>
    <xf numFmtId="164" fontId="10" fillId="8" borderId="4" xfId="0" applyNumberFormat="1" applyFont="1" applyFill="1" applyBorder="1"/>
    <xf numFmtId="164" fontId="10" fillId="12" borderId="4" xfId="0" applyNumberFormat="1" applyFont="1" applyFill="1" applyBorder="1"/>
    <xf numFmtId="0" fontId="9" fillId="0" borderId="0" xfId="0" applyFont="1"/>
    <xf numFmtId="164" fontId="10" fillId="13" borderId="4" xfId="0" applyNumberFormat="1" applyFont="1" applyFill="1" applyBorder="1"/>
    <xf numFmtId="164" fontId="11" fillId="14" borderId="4" xfId="0" applyNumberFormat="1" applyFont="1" applyFill="1" applyBorder="1"/>
    <xf numFmtId="164" fontId="11" fillId="3" borderId="13" xfId="0" applyNumberFormat="1" applyFont="1" applyFill="1" applyBorder="1"/>
    <xf numFmtId="164" fontId="10" fillId="0" borderId="4" xfId="0" applyNumberFormat="1" applyFont="1" applyBorder="1"/>
    <xf numFmtId="164" fontId="11" fillId="15" borderId="4" xfId="0" applyNumberFormat="1" applyFont="1" applyFill="1" applyBorder="1" applyAlignment="1">
      <alignment horizontal="center" vertical="center"/>
    </xf>
    <xf numFmtId="164" fontId="11" fillId="15" borderId="4" xfId="0" applyNumberFormat="1" applyFont="1" applyFill="1" applyBorder="1"/>
    <xf numFmtId="164" fontId="11" fillId="3" borderId="32" xfId="0" applyNumberFormat="1" applyFont="1" applyFill="1" applyBorder="1"/>
    <xf numFmtId="14" fontId="0" fillId="0" borderId="0" xfId="0" applyNumberFormat="1"/>
    <xf numFmtId="0" fontId="0" fillId="0" borderId="13" xfId="0" applyBorder="1"/>
    <xf numFmtId="2" fontId="0" fillId="0" borderId="0" xfId="0" applyNumberFormat="1"/>
    <xf numFmtId="44" fontId="0" fillId="0" borderId="0" xfId="0" applyNumberFormat="1"/>
    <xf numFmtId="44" fontId="6" fillId="0" borderId="0" xfId="0" applyNumberFormat="1" applyFont="1"/>
    <xf numFmtId="0" fontId="2" fillId="0" borderId="13" xfId="0" applyFont="1" applyBorder="1"/>
    <xf numFmtId="164" fontId="0" fillId="0" borderId="13" xfId="0" applyNumberFormat="1" applyBorder="1"/>
    <xf numFmtId="2" fontId="6" fillId="0" borderId="0" xfId="0" applyNumberFormat="1" applyFont="1"/>
    <xf numFmtId="44" fontId="0" fillId="0" borderId="0" xfId="1" applyFont="1"/>
    <xf numFmtId="0" fontId="16" fillId="16" borderId="40" xfId="0" applyFont="1" applyFill="1" applyBorder="1"/>
    <xf numFmtId="0" fontId="14" fillId="20" borderId="52" xfId="0" applyFont="1" applyFill="1" applyBorder="1" applyAlignment="1">
      <alignment horizontal="center"/>
    </xf>
    <xf numFmtId="0" fontId="14" fillId="20" borderId="53" xfId="0" applyFont="1" applyFill="1" applyBorder="1" applyAlignment="1">
      <alignment horizontal="center"/>
    </xf>
    <xf numFmtId="0" fontId="14" fillId="20" borderId="54" xfId="0" applyFont="1" applyFill="1" applyBorder="1" applyAlignment="1">
      <alignment horizontal="center"/>
    </xf>
    <xf numFmtId="0" fontId="18" fillId="21" borderId="40" xfId="0" applyFont="1" applyFill="1" applyBorder="1"/>
    <xf numFmtId="44" fontId="0" fillId="0" borderId="0" xfId="1" applyFont="1" applyFill="1"/>
    <xf numFmtId="0" fontId="18" fillId="21" borderId="55" xfId="0" applyFont="1" applyFill="1" applyBorder="1"/>
    <xf numFmtId="2" fontId="14" fillId="22" borderId="0" xfId="1" applyNumberFormat="1" applyFont="1" applyFill="1"/>
    <xf numFmtId="44" fontId="14" fillId="22" borderId="0" xfId="1" applyFont="1" applyFill="1"/>
    <xf numFmtId="0" fontId="18" fillId="0" borderId="45" xfId="0" applyFont="1" applyBorder="1" applyAlignment="1">
      <alignment horizontal="center"/>
    </xf>
    <xf numFmtId="0" fontId="18" fillId="0" borderId="46" xfId="0" applyFont="1" applyBorder="1" applyAlignment="1">
      <alignment horizontal="center"/>
    </xf>
    <xf numFmtId="0" fontId="14" fillId="20" borderId="56" xfId="0" applyFont="1" applyFill="1" applyBorder="1" applyAlignment="1">
      <alignment horizontal="center"/>
    </xf>
    <xf numFmtId="0" fontId="14" fillId="20" borderId="57" xfId="0" applyFont="1" applyFill="1" applyBorder="1" applyAlignment="1">
      <alignment horizontal="center"/>
    </xf>
    <xf numFmtId="0" fontId="14" fillId="20" borderId="58" xfId="0" applyFont="1" applyFill="1" applyBorder="1" applyAlignment="1">
      <alignment horizontal="center"/>
    </xf>
    <xf numFmtId="0" fontId="14" fillId="20" borderId="51" xfId="0" applyFont="1" applyFill="1" applyBorder="1" applyAlignment="1">
      <alignment horizontal="center"/>
    </xf>
    <xf numFmtId="44" fontId="0" fillId="0" borderId="13" xfId="1" applyFont="1" applyFill="1" applyBorder="1"/>
    <xf numFmtId="44" fontId="14" fillId="0" borderId="0" xfId="1" applyFont="1"/>
    <xf numFmtId="44" fontId="14" fillId="0" borderId="0" xfId="1" applyFont="1" applyFill="1"/>
    <xf numFmtId="44" fontId="0" fillId="0" borderId="13" xfId="1" applyFont="1" applyBorder="1"/>
    <xf numFmtId="44" fontId="14" fillId="0" borderId="13" xfId="1" applyFont="1" applyFill="1" applyBorder="1"/>
    <xf numFmtId="44" fontId="0" fillId="23" borderId="0" xfId="0" applyNumberFormat="1" applyFill="1"/>
    <xf numFmtId="44" fontId="13" fillId="23" borderId="0" xfId="1" applyFont="1" applyFill="1"/>
    <xf numFmtId="44" fontId="0" fillId="23" borderId="0" xfId="1" applyFont="1" applyFill="1"/>
    <xf numFmtId="44" fontId="14" fillId="23" borderId="0" xfId="1" applyFont="1" applyFill="1"/>
    <xf numFmtId="0" fontId="0" fillId="0" borderId="13" xfId="0" applyBorder="1" applyAlignment="1">
      <alignment horizontal="center" wrapText="1"/>
    </xf>
    <xf numFmtId="0" fontId="23" fillId="0" borderId="0" xfId="0" applyFont="1"/>
    <xf numFmtId="2" fontId="23" fillId="0" borderId="0" xfId="0" applyNumberFormat="1" applyFont="1"/>
    <xf numFmtId="164" fontId="23" fillId="0" borderId="0" xfId="0" applyNumberFormat="1" applyFont="1"/>
    <xf numFmtId="0" fontId="23" fillId="5" borderId="12" xfId="0" applyFont="1" applyFill="1" applyBorder="1" applyAlignment="1">
      <alignment horizontal="center"/>
    </xf>
    <xf numFmtId="0" fontId="24" fillId="6" borderId="4" xfId="0" applyFont="1" applyFill="1" applyBorder="1"/>
    <xf numFmtId="0" fontId="21" fillId="0" borderId="0" xfId="0" applyFont="1"/>
    <xf numFmtId="164" fontId="21" fillId="0" borderId="0" xfId="0" applyNumberFormat="1" applyFont="1"/>
    <xf numFmtId="2" fontId="23" fillId="7" borderId="13" xfId="0" applyNumberFormat="1" applyFont="1" applyFill="1" applyBorder="1"/>
    <xf numFmtId="164" fontId="23" fillId="7" borderId="13" xfId="0" applyNumberFormat="1" applyFont="1" applyFill="1" applyBorder="1"/>
    <xf numFmtId="0" fontId="21" fillId="0" borderId="13" xfId="0" applyFont="1" applyBorder="1"/>
    <xf numFmtId="164" fontId="21" fillId="0" borderId="13" xfId="0" applyNumberFormat="1" applyFont="1" applyBorder="1"/>
    <xf numFmtId="0" fontId="0" fillId="0" borderId="40" xfId="0" applyBorder="1"/>
    <xf numFmtId="0" fontId="0" fillId="0" borderId="40" xfId="0" applyBorder="1" applyAlignment="1">
      <alignment horizontal="center"/>
    </xf>
    <xf numFmtId="1" fontId="0" fillId="0" borderId="40" xfId="0" applyNumberFormat="1" applyBorder="1" applyAlignment="1">
      <alignment horizontal="center"/>
    </xf>
    <xf numFmtId="0" fontId="12" fillId="0" borderId="40" xfId="0" applyFont="1" applyBorder="1"/>
    <xf numFmtId="0" fontId="6" fillId="0" borderId="0" xfId="0" applyFont="1" applyAlignment="1">
      <alignment horizontal="center"/>
    </xf>
    <xf numFmtId="0" fontId="6" fillId="0" borderId="59" xfId="0" applyFont="1" applyBorder="1" applyAlignment="1">
      <alignment horizontal="center"/>
    </xf>
    <xf numFmtId="0" fontId="0" fillId="23" borderId="40" xfId="0" applyFill="1" applyBorder="1"/>
    <xf numFmtId="0" fontId="0" fillId="23" borderId="40" xfId="0" applyFill="1" applyBorder="1" applyAlignment="1">
      <alignment horizontal="center"/>
    </xf>
    <xf numFmtId="0" fontId="6" fillId="23" borderId="0" xfId="0" applyFont="1" applyFill="1" applyAlignment="1">
      <alignment horizontal="center"/>
    </xf>
    <xf numFmtId="166" fontId="6" fillId="0" borderId="0" xfId="0" applyNumberFormat="1" applyFont="1"/>
    <xf numFmtId="0" fontId="0" fillId="0" borderId="0" xfId="0" applyAlignment="1">
      <alignment horizontal="right"/>
    </xf>
    <xf numFmtId="0" fontId="25" fillId="0" borderId="13" xfId="0" applyFont="1" applyBorder="1"/>
    <xf numFmtId="0" fontId="18" fillId="0" borderId="41" xfId="0" applyFont="1" applyBorder="1" applyAlignment="1">
      <alignment horizontal="center"/>
    </xf>
    <xf numFmtId="0" fontId="18" fillId="0" borderId="42" xfId="0" applyFont="1" applyBorder="1" applyAlignment="1">
      <alignment horizontal="center"/>
    </xf>
    <xf numFmtId="0" fontId="18" fillId="0" borderId="43" xfId="0" applyFont="1" applyBorder="1" applyAlignment="1">
      <alignment horizontal="center"/>
    </xf>
    <xf numFmtId="0" fontId="18" fillId="0" borderId="45" xfId="0" applyFont="1" applyBorder="1" applyAlignment="1">
      <alignment horizontal="center"/>
    </xf>
    <xf numFmtId="0" fontId="18" fillId="0" borderId="46" xfId="0" applyFont="1" applyBorder="1" applyAlignment="1">
      <alignment horizontal="center"/>
    </xf>
    <xf numFmtId="0" fontId="18" fillId="0" borderId="47" xfId="0" applyFont="1" applyBorder="1" applyAlignment="1">
      <alignment horizontal="center"/>
    </xf>
    <xf numFmtId="0" fontId="18" fillId="16" borderId="37" xfId="0" applyFont="1" applyFill="1" applyBorder="1" applyAlignment="1">
      <alignment horizontal="center"/>
    </xf>
    <xf numFmtId="0" fontId="18" fillId="16" borderId="38" xfId="0" applyFont="1" applyFill="1" applyBorder="1" applyAlignment="1">
      <alignment horizontal="center"/>
    </xf>
    <xf numFmtId="0" fontId="18" fillId="16" borderId="39" xfId="0" applyFont="1" applyFill="1" applyBorder="1" applyAlignment="1">
      <alignment horizontal="center"/>
    </xf>
    <xf numFmtId="0" fontId="14" fillId="17" borderId="44" xfId="0" applyFont="1" applyFill="1" applyBorder="1" applyAlignment="1">
      <alignment horizontal="center" wrapText="1"/>
    </xf>
    <xf numFmtId="0" fontId="14" fillId="17" borderId="0" xfId="0" applyFont="1" applyFill="1" applyAlignment="1">
      <alignment horizontal="center" wrapText="1"/>
    </xf>
    <xf numFmtId="0" fontId="19" fillId="18" borderId="37" xfId="0" applyFont="1" applyFill="1" applyBorder="1" applyAlignment="1">
      <alignment horizontal="center"/>
    </xf>
    <xf numFmtId="0" fontId="19" fillId="18" borderId="38" xfId="0" applyFont="1" applyFill="1" applyBorder="1" applyAlignment="1">
      <alignment horizontal="center"/>
    </xf>
    <xf numFmtId="0" fontId="19" fillId="18" borderId="48" xfId="0" applyFont="1" applyFill="1" applyBorder="1" applyAlignment="1">
      <alignment horizontal="center"/>
    </xf>
    <xf numFmtId="0" fontId="0" fillId="0" borderId="49" xfId="0" applyBorder="1" applyAlignment="1">
      <alignment horizontal="left"/>
    </xf>
    <xf numFmtId="0" fontId="0" fillId="0" borderId="50" xfId="0" applyBorder="1" applyAlignment="1">
      <alignment horizontal="left"/>
    </xf>
    <xf numFmtId="0" fontId="0" fillId="0" borderId="51" xfId="0" applyBorder="1" applyAlignment="1">
      <alignment horizontal="left"/>
    </xf>
    <xf numFmtId="0" fontId="13" fillId="19" borderId="37" xfId="0" applyFont="1" applyFill="1" applyBorder="1" applyAlignment="1">
      <alignment horizontal="center"/>
    </xf>
    <xf numFmtId="0" fontId="13" fillId="19" borderId="38" xfId="0" applyFont="1" applyFill="1" applyBorder="1" applyAlignment="1">
      <alignment horizontal="center"/>
    </xf>
    <xf numFmtId="0" fontId="13" fillId="19" borderId="48" xfId="0" applyFont="1" applyFill="1" applyBorder="1" applyAlignment="1">
      <alignment horizontal="center"/>
    </xf>
    <xf numFmtId="0" fontId="19" fillId="19" borderId="37" xfId="0" applyFont="1" applyFill="1" applyBorder="1" applyAlignment="1">
      <alignment horizontal="center"/>
    </xf>
    <xf numFmtId="0" fontId="19" fillId="19" borderId="38" xfId="0" applyFont="1" applyFill="1" applyBorder="1" applyAlignment="1">
      <alignment horizontal="center"/>
    </xf>
    <xf numFmtId="0" fontId="19" fillId="19" borderId="48" xfId="0" applyFont="1" applyFill="1" applyBorder="1" applyAlignment="1">
      <alignment horizontal="center"/>
    </xf>
    <xf numFmtId="0" fontId="0" fillId="0" borderId="44" xfId="0" applyBorder="1" applyAlignment="1">
      <alignment horizontal="center"/>
    </xf>
    <xf numFmtId="0" fontId="0" fillId="0" borderId="13" xfId="0" applyBorder="1" applyAlignment="1">
      <alignment horizontal="center"/>
    </xf>
    <xf numFmtId="0" fontId="15" fillId="16" borderId="37" xfId="0" applyFont="1" applyFill="1" applyBorder="1" applyAlignment="1">
      <alignment horizontal="center"/>
    </xf>
    <xf numFmtId="0" fontId="15" fillId="16" borderId="38" xfId="0" applyFont="1" applyFill="1" applyBorder="1" applyAlignment="1">
      <alignment horizontal="center"/>
    </xf>
    <xf numFmtId="0" fontId="15" fillId="16" borderId="39" xfId="0" applyFont="1" applyFill="1" applyBorder="1" applyAlignment="1">
      <alignment horizontal="center"/>
    </xf>
    <xf numFmtId="0" fontId="17" fillId="16" borderId="37" xfId="0" applyFont="1" applyFill="1" applyBorder="1" applyAlignment="1">
      <alignment horizontal="center"/>
    </xf>
    <xf numFmtId="0" fontId="17" fillId="16" borderId="38" xfId="0" applyFont="1" applyFill="1" applyBorder="1" applyAlignment="1">
      <alignment horizontal="center"/>
    </xf>
    <xf numFmtId="0" fontId="17" fillId="16" borderId="39" xfId="0" applyFont="1" applyFill="1" applyBorder="1" applyAlignment="1">
      <alignment horizontal="center"/>
    </xf>
    <xf numFmtId="0" fontId="0" fillId="0" borderId="41" xfId="0" applyBorder="1" applyAlignment="1">
      <alignment horizontal="center"/>
    </xf>
    <xf numFmtId="0" fontId="0" fillId="0" borderId="42" xfId="0" applyBorder="1" applyAlignment="1">
      <alignment horizontal="center"/>
    </xf>
    <xf numFmtId="0" fontId="0" fillId="0" borderId="43" xfId="0" applyBorder="1" applyAlignment="1">
      <alignment horizontal="center"/>
    </xf>
    <xf numFmtId="0" fontId="0" fillId="0" borderId="45" xfId="0" applyBorder="1" applyAlignment="1">
      <alignment horizontal="center"/>
    </xf>
    <xf numFmtId="0" fontId="0" fillId="0" borderId="46" xfId="0" applyBorder="1" applyAlignment="1">
      <alignment horizontal="center"/>
    </xf>
    <xf numFmtId="0" fontId="0" fillId="0" borderId="47" xfId="0" applyBorder="1" applyAlignment="1">
      <alignment horizontal="center"/>
    </xf>
    <xf numFmtId="0" fontId="6" fillId="5" borderId="13" xfId="0" applyFont="1" applyFill="1" applyBorder="1" applyAlignment="1">
      <alignment horizontal="center" wrapText="1"/>
    </xf>
    <xf numFmtId="0" fontId="0" fillId="18" borderId="0" xfId="0" applyFill="1" applyAlignment="1">
      <alignment horizontal="center" wrapText="1"/>
    </xf>
    <xf numFmtId="0" fontId="2" fillId="3" borderId="14" xfId="0" applyFont="1" applyFill="1" applyBorder="1" applyAlignment="1">
      <alignment horizontal="center"/>
    </xf>
    <xf numFmtId="0" fontId="2" fillId="0" borderId="15" xfId="0" applyFont="1" applyBorder="1"/>
    <xf numFmtId="0" fontId="2" fillId="0" borderId="16" xfId="0" applyFont="1" applyBorder="1"/>
    <xf numFmtId="0" fontId="2" fillId="4" borderId="14" xfId="0" applyFont="1" applyFill="1" applyBorder="1" applyAlignment="1">
      <alignment horizontal="center"/>
    </xf>
    <xf numFmtId="0" fontId="4" fillId="2" borderId="14" xfId="0" applyFont="1" applyFill="1" applyBorder="1" applyAlignment="1">
      <alignment horizontal="center"/>
    </xf>
    <xf numFmtId="0" fontId="4" fillId="0" borderId="21" xfId="0" applyFont="1" applyBorder="1" applyAlignment="1">
      <alignment horizontal="center"/>
    </xf>
    <xf numFmtId="0" fontId="2" fillId="0" borderId="31" xfId="0" applyFont="1" applyBorder="1"/>
    <xf numFmtId="0" fontId="2" fillId="0" borderId="25" xfId="0" applyFont="1" applyBorder="1"/>
    <xf numFmtId="0" fontId="2" fillId="0" borderId="30" xfId="0" applyFont="1" applyBorder="1"/>
    <xf numFmtId="0" fontId="2" fillId="0" borderId="13" xfId="0" applyFont="1" applyBorder="1"/>
    <xf numFmtId="0" fontId="2" fillId="0" borderId="33" xfId="0" applyFont="1" applyBorder="1"/>
    <xf numFmtId="0" fontId="1" fillId="2" borderId="14" xfId="0" applyFont="1" applyFill="1" applyBorder="1" applyAlignment="1">
      <alignment horizontal="center"/>
    </xf>
    <xf numFmtId="0" fontId="0" fillId="0" borderId="21" xfId="0" applyBorder="1" applyAlignment="1">
      <alignment horizontal="center"/>
    </xf>
    <xf numFmtId="0" fontId="2" fillId="0" borderId="27" xfId="0" applyFont="1" applyBorder="1"/>
    <xf numFmtId="0" fontId="2" fillId="0" borderId="32" xfId="0" applyFont="1" applyBorder="1"/>
    <xf numFmtId="0" fontId="2" fillId="0" borderId="29" xfId="0" applyFont="1" applyBorder="1"/>
    <xf numFmtId="0" fontId="6" fillId="0" borderId="17" xfId="0" applyFont="1" applyBorder="1" applyAlignment="1">
      <alignment horizontal="left"/>
    </xf>
    <xf numFmtId="0" fontId="2" fillId="0" borderId="18" xfId="0" applyFont="1" applyBorder="1"/>
    <xf numFmtId="0" fontId="2" fillId="0" borderId="19" xfId="0" applyFont="1" applyBorder="1"/>
    <xf numFmtId="0" fontId="4" fillId="2" borderId="1" xfId="0" applyFont="1" applyFill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/>
    <xf numFmtId="0" fontId="0" fillId="0" borderId="5" xfId="0" applyBorder="1" applyAlignment="1">
      <alignment horizontal="center"/>
    </xf>
    <xf numFmtId="0" fontId="2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2" fillId="0" borderId="9" xfId="0" applyFont="1" applyBorder="1"/>
    <xf numFmtId="0" fontId="2" fillId="0" borderId="10" xfId="0" applyFont="1" applyBorder="1"/>
    <xf numFmtId="0" fontId="5" fillId="4" borderId="1" xfId="0" applyFont="1" applyFill="1" applyBorder="1" applyAlignment="1">
      <alignment horizontal="center"/>
    </xf>
    <xf numFmtId="0" fontId="2" fillId="0" borderId="11" xfId="0" applyFont="1" applyBorder="1"/>
    <xf numFmtId="0" fontId="5" fillId="3" borderId="1" xfId="0" applyFont="1" applyFill="1" applyBorder="1" applyAlignment="1">
      <alignment horizontal="center"/>
    </xf>
    <xf numFmtId="0" fontId="4" fillId="6" borderId="5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7" fillId="2" borderId="1" xfId="0" applyFont="1" applyFill="1" applyBorder="1" applyAlignment="1">
      <alignment horizontal="center"/>
    </xf>
    <xf numFmtId="0" fontId="4" fillId="2" borderId="27" xfId="0" applyFont="1" applyFill="1" applyBorder="1" applyAlignment="1">
      <alignment horizontal="center"/>
    </xf>
    <xf numFmtId="0" fontId="2" fillId="0" borderId="28" xfId="0" applyFont="1" applyBorder="1"/>
    <xf numFmtId="0" fontId="4" fillId="0" borderId="5" xfId="0" applyFont="1" applyBorder="1" applyAlignment="1">
      <alignment horizontal="center"/>
    </xf>
    <xf numFmtId="0" fontId="4" fillId="2" borderId="32" xfId="0" applyFont="1" applyFill="1" applyBorder="1" applyAlignment="1">
      <alignment horizontal="center"/>
    </xf>
    <xf numFmtId="0" fontId="4" fillId="2" borderId="29" xfId="0" applyFont="1" applyFill="1" applyBorder="1" applyAlignment="1">
      <alignment horizontal="center"/>
    </xf>
    <xf numFmtId="0" fontId="4" fillId="2" borderId="21" xfId="0" applyFont="1" applyFill="1" applyBorder="1" applyAlignment="1">
      <alignment horizontal="center"/>
    </xf>
    <xf numFmtId="0" fontId="4" fillId="2" borderId="31" xfId="0" applyFont="1" applyFill="1" applyBorder="1" applyAlignment="1">
      <alignment horizontal="center"/>
    </xf>
    <xf numFmtId="0" fontId="4" fillId="2" borderId="25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5" fillId="3" borderId="21" xfId="0" applyFont="1" applyFill="1" applyBorder="1" applyAlignment="1">
      <alignment horizontal="center"/>
    </xf>
    <xf numFmtId="0" fontId="2" fillId="0" borderId="22" xfId="0" applyFont="1" applyBorder="1"/>
    <xf numFmtId="0" fontId="2" fillId="0" borderId="23" xfId="0" applyFont="1" applyBorder="1"/>
    <xf numFmtId="0" fontId="2" fillId="3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wrapText="1"/>
    </xf>
    <xf numFmtId="0" fontId="2" fillId="0" borderId="2" xfId="0" applyFont="1" applyBorder="1" applyAlignment="1">
      <alignment wrapText="1"/>
    </xf>
    <xf numFmtId="0" fontId="2" fillId="0" borderId="3" xfId="0" applyFont="1" applyBorder="1" applyAlignment="1">
      <alignment wrapText="1"/>
    </xf>
    <xf numFmtId="0" fontId="4" fillId="2" borderId="14" xfId="0" applyFont="1" applyFill="1" applyBorder="1" applyAlignment="1">
      <alignment horizontal="center" wrapText="1"/>
    </xf>
    <xf numFmtId="0" fontId="4" fillId="2" borderId="15" xfId="0" applyFont="1" applyFill="1" applyBorder="1" applyAlignment="1">
      <alignment horizontal="center" wrapText="1"/>
    </xf>
    <xf numFmtId="0" fontId="4" fillId="2" borderId="16" xfId="0" applyFont="1" applyFill="1" applyBorder="1" applyAlignment="1">
      <alignment horizontal="center" wrapText="1"/>
    </xf>
    <xf numFmtId="0" fontId="5" fillId="4" borderId="34" xfId="0" applyFont="1" applyFill="1" applyBorder="1" applyAlignment="1">
      <alignment horizontal="center"/>
    </xf>
    <xf numFmtId="0" fontId="5" fillId="4" borderId="35" xfId="0" applyFont="1" applyFill="1" applyBorder="1" applyAlignment="1">
      <alignment horizontal="center"/>
    </xf>
    <xf numFmtId="0" fontId="5" fillId="4" borderId="36" xfId="0" applyFont="1" applyFill="1" applyBorder="1" applyAlignment="1">
      <alignment horizontal="center"/>
    </xf>
    <xf numFmtId="0" fontId="2" fillId="3" borderId="37" xfId="0" applyFont="1" applyFill="1" applyBorder="1" applyAlignment="1">
      <alignment horizontal="center"/>
    </xf>
    <xf numFmtId="0" fontId="5" fillId="3" borderId="38" xfId="0" applyFont="1" applyFill="1" applyBorder="1" applyAlignment="1">
      <alignment horizontal="center"/>
    </xf>
    <xf numFmtId="0" fontId="5" fillId="3" borderId="39" xfId="0" applyFont="1" applyFill="1" applyBorder="1" applyAlignment="1">
      <alignment horizontal="center"/>
    </xf>
    <xf numFmtId="0" fontId="12" fillId="0" borderId="13" xfId="0" applyFont="1" applyBorder="1" applyAlignment="1">
      <alignment horizontal="center" wrapText="1"/>
    </xf>
    <xf numFmtId="0" fontId="0" fillId="0" borderId="13" xfId="0" applyBorder="1" applyAlignment="1">
      <alignment horizontal="center" wrapText="1"/>
    </xf>
    <xf numFmtId="0" fontId="20" fillId="0" borderId="13" xfId="0" applyFont="1" applyBorder="1" applyAlignment="1">
      <alignment horizontal="center"/>
    </xf>
    <xf numFmtId="0" fontId="22" fillId="3" borderId="14" xfId="0" applyFont="1" applyFill="1" applyBorder="1" applyAlignment="1">
      <alignment horizontal="center"/>
    </xf>
    <xf numFmtId="0" fontId="22" fillId="0" borderId="15" xfId="0" applyFont="1" applyBorder="1"/>
    <xf numFmtId="0" fontId="22" fillId="0" borderId="16" xfId="0" applyFont="1" applyBorder="1"/>
    <xf numFmtId="0" fontId="22" fillId="4" borderId="14" xfId="0" applyFont="1" applyFill="1" applyBorder="1" applyAlignment="1">
      <alignment horizontal="center"/>
    </xf>
    <xf numFmtId="0" fontId="24" fillId="2" borderId="14" xfId="0" applyFont="1" applyFill="1" applyBorder="1" applyAlignment="1">
      <alignment horizontal="center"/>
    </xf>
    <xf numFmtId="0" fontId="24" fillId="0" borderId="21" xfId="0" applyFont="1" applyBorder="1" applyAlignment="1">
      <alignment horizontal="center"/>
    </xf>
    <xf numFmtId="0" fontId="22" fillId="0" borderId="31" xfId="0" applyFont="1" applyBorder="1"/>
    <xf numFmtId="0" fontId="22" fillId="0" borderId="25" xfId="0" applyFont="1" applyBorder="1"/>
    <xf numFmtId="0" fontId="22" fillId="0" borderId="30" xfId="0" applyFont="1" applyBorder="1"/>
    <xf numFmtId="0" fontId="22" fillId="0" borderId="13" xfId="0" applyFont="1" applyBorder="1"/>
    <xf numFmtId="0" fontId="22" fillId="0" borderId="33" xfId="0" applyFont="1" applyBorder="1"/>
    <xf numFmtId="0" fontId="0" fillId="0" borderId="40" xfId="0" applyBorder="1" applyAlignment="1">
      <alignment horizontal="center" wrapText="1"/>
    </xf>
    <xf numFmtId="0" fontId="0" fillId="0" borderId="41" xfId="0" applyBorder="1" applyAlignment="1">
      <alignment horizontal="center" wrapText="1"/>
    </xf>
    <xf numFmtId="0" fontId="0" fillId="0" borderId="42" xfId="0" applyBorder="1" applyAlignment="1">
      <alignment horizontal="center" wrapText="1"/>
    </xf>
    <xf numFmtId="17" fontId="6" fillId="0" borderId="44" xfId="0" applyNumberFormat="1" applyFont="1" applyBorder="1" applyAlignment="1">
      <alignment horizontal="center" wrapText="1"/>
    </xf>
    <xf numFmtId="0" fontId="6" fillId="0" borderId="13" xfId="0" applyFont="1" applyBorder="1" applyAlignment="1">
      <alignment horizontal="center" wrapText="1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5" Type="http://schemas.openxmlformats.org/officeDocument/2006/relationships/image" Target="../media/image5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38102</xdr:colOff>
      <xdr:row>56</xdr:row>
      <xdr:rowOff>19053</xdr:rowOff>
    </xdr:from>
    <xdr:to>
      <xdr:col>4</xdr:col>
      <xdr:colOff>38100</xdr:colOff>
      <xdr:row>69</xdr:row>
      <xdr:rowOff>161925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4375508F-9663-4DB4-B446-33B6804DD2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7302" y="10077453"/>
          <a:ext cx="1343023" cy="274319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733425</xdr:colOff>
      <xdr:row>55</xdr:row>
      <xdr:rowOff>190500</xdr:rowOff>
    </xdr:from>
    <xdr:to>
      <xdr:col>7</xdr:col>
      <xdr:colOff>238125</xdr:colOff>
      <xdr:row>69</xdr:row>
      <xdr:rowOff>123826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58A4800-7DC4-4FC1-8AB6-244D5BE108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95650" y="10048875"/>
          <a:ext cx="1495425" cy="273367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276226</xdr:colOff>
      <xdr:row>55</xdr:row>
      <xdr:rowOff>180976</xdr:rowOff>
    </xdr:from>
    <xdr:to>
      <xdr:col>10</xdr:col>
      <xdr:colOff>28576</xdr:colOff>
      <xdr:row>70</xdr:row>
      <xdr:rowOff>9525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63B04130-79CC-4F9C-9D14-2EC79B45BF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91176" y="10039351"/>
          <a:ext cx="1524000" cy="28289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28575</xdr:colOff>
      <xdr:row>56</xdr:row>
      <xdr:rowOff>19050</xdr:rowOff>
    </xdr:from>
    <xdr:to>
      <xdr:col>13</xdr:col>
      <xdr:colOff>0</xdr:colOff>
      <xdr:row>69</xdr:row>
      <xdr:rowOff>180976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40624A94-5A10-4212-AA26-FA127FA0EA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77175" y="10077450"/>
          <a:ext cx="1495425" cy="27622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</xdr:col>
      <xdr:colOff>19050</xdr:colOff>
      <xdr:row>56</xdr:row>
      <xdr:rowOff>19050</xdr:rowOff>
    </xdr:from>
    <xdr:to>
      <xdr:col>15</xdr:col>
      <xdr:colOff>752475</xdr:colOff>
      <xdr:row>69</xdr:row>
      <xdr:rowOff>180975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959CF1BE-AB5D-41FD-9356-C98590B93C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58400" y="10077450"/>
          <a:ext cx="1495425" cy="2762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21"/>
  <sheetViews>
    <sheetView workbookViewId="0">
      <selection activeCell="H43" sqref="H43"/>
    </sheetView>
  </sheetViews>
  <sheetFormatPr baseColWidth="10" defaultColWidth="14.42578125" defaultRowHeight="15" customHeight="1" x14ac:dyDescent="0.25"/>
  <cols>
    <col min="1" max="1" width="4" customWidth="1"/>
    <col min="2" max="2" width="14.28515625" customWidth="1"/>
    <col min="3" max="3" width="8.7109375" customWidth="1"/>
    <col min="4" max="6" width="11.42578125" customWidth="1"/>
    <col min="7" max="7" width="7" customWidth="1"/>
    <col min="8" max="8" width="11.42578125" customWidth="1"/>
    <col min="9" max="9" width="15.140625" customWidth="1"/>
    <col min="10" max="13" width="11.42578125" customWidth="1"/>
    <col min="14" max="14" width="10" customWidth="1"/>
    <col min="15" max="17" width="11.42578125" customWidth="1"/>
  </cols>
  <sheetData>
    <row r="1" spans="1:14" ht="33.75" x14ac:dyDescent="0.5">
      <c r="B1" s="139" t="s">
        <v>0</v>
      </c>
      <c r="C1" s="129"/>
      <c r="D1" s="129"/>
      <c r="E1" s="129"/>
      <c r="F1" s="129"/>
      <c r="G1" s="130"/>
      <c r="M1" s="1"/>
      <c r="N1" s="1"/>
    </row>
    <row r="2" spans="1:14" x14ac:dyDescent="0.25">
      <c r="B2" s="2" t="s">
        <v>1</v>
      </c>
      <c r="C2" s="132" t="s">
        <v>123</v>
      </c>
      <c r="D2" s="129"/>
      <c r="E2" s="129"/>
      <c r="F2" s="129"/>
      <c r="G2" s="130"/>
      <c r="M2" s="1"/>
      <c r="N2" s="1"/>
    </row>
    <row r="3" spans="1:14" x14ac:dyDescent="0.25">
      <c r="B3" s="2" t="s">
        <v>2</v>
      </c>
      <c r="C3" s="132" t="s">
        <v>3</v>
      </c>
      <c r="D3" s="129"/>
      <c r="E3" s="129"/>
      <c r="F3" s="129"/>
      <c r="G3" s="130"/>
      <c r="M3" s="1"/>
      <c r="N3" s="1"/>
    </row>
    <row r="4" spans="1:14" x14ac:dyDescent="0.25">
      <c r="B4" s="2" t="s">
        <v>4</v>
      </c>
      <c r="C4" s="132" t="s">
        <v>97</v>
      </c>
      <c r="D4" s="129"/>
      <c r="E4" s="129"/>
      <c r="F4" s="129"/>
      <c r="G4" s="130"/>
      <c r="M4" s="1"/>
      <c r="N4" s="1"/>
    </row>
    <row r="5" spans="1:14" x14ac:dyDescent="0.25">
      <c r="B5" s="140"/>
      <c r="C5" s="134"/>
      <c r="D5" s="134"/>
      <c r="E5" s="134"/>
      <c r="F5" s="134"/>
      <c r="G5" s="135"/>
      <c r="M5" s="1"/>
      <c r="N5" s="1"/>
    </row>
    <row r="6" spans="1:14" x14ac:dyDescent="0.25">
      <c r="B6" s="141"/>
      <c r="C6" s="142"/>
      <c r="D6" s="142"/>
      <c r="E6" s="142"/>
      <c r="F6" s="142"/>
      <c r="G6" s="143"/>
      <c r="M6" s="1"/>
      <c r="N6" s="1"/>
    </row>
    <row r="7" spans="1:14" ht="15.75" thickBot="1" x14ac:dyDescent="0.3">
      <c r="B7" s="128" t="s">
        <v>5</v>
      </c>
      <c r="C7" s="129"/>
      <c r="D7" s="129"/>
      <c r="E7" s="129"/>
      <c r="F7" s="129"/>
      <c r="G7" s="130"/>
      <c r="H7" s="3" t="s">
        <v>6</v>
      </c>
      <c r="I7" s="3"/>
      <c r="J7" s="3"/>
      <c r="K7" s="39">
        <f>+H14</f>
        <v>163</v>
      </c>
      <c r="L7" s="3">
        <f>+K7/33</f>
        <v>4.9393939393939394</v>
      </c>
      <c r="M7" s="4">
        <f>+L7*28</f>
        <v>138.30303030303031</v>
      </c>
      <c r="N7" s="4"/>
    </row>
    <row r="8" spans="1:14" ht="15.75" thickBot="1" x14ac:dyDescent="0.3">
      <c r="B8" s="131"/>
      <c r="C8" s="129"/>
      <c r="D8" s="129"/>
      <c r="E8" s="129"/>
      <c r="F8" s="129"/>
      <c r="G8" s="129"/>
      <c r="H8" s="5" t="s">
        <v>7</v>
      </c>
      <c r="I8" s="5" t="s">
        <v>8</v>
      </c>
      <c r="J8" s="5" t="s">
        <v>9</v>
      </c>
      <c r="K8" s="5" t="s">
        <v>10</v>
      </c>
      <c r="L8" s="5" t="s">
        <v>11</v>
      </c>
      <c r="M8" s="5" t="s">
        <v>12</v>
      </c>
      <c r="N8" s="4"/>
    </row>
    <row r="9" spans="1:14" x14ac:dyDescent="0.25">
      <c r="B9" s="6" t="s">
        <v>13</v>
      </c>
      <c r="C9" s="132" t="s">
        <v>76</v>
      </c>
      <c r="D9" s="129"/>
      <c r="E9" s="129"/>
      <c r="F9" s="129"/>
      <c r="G9" s="130"/>
      <c r="H9">
        <v>22</v>
      </c>
      <c r="I9" s="1">
        <f>+H9/33*28</f>
        <v>18.666666666666664</v>
      </c>
      <c r="J9" s="1"/>
      <c r="K9" s="1"/>
      <c r="L9" s="1"/>
      <c r="M9" s="1">
        <f t="shared" ref="M9:M13" si="0">+I9+J9+K9+L9</f>
        <v>18.666666666666664</v>
      </c>
      <c r="N9" s="4"/>
    </row>
    <row r="10" spans="1:14" x14ac:dyDescent="0.25">
      <c r="B10" s="6" t="s">
        <v>14</v>
      </c>
      <c r="C10" s="132" t="s">
        <v>76</v>
      </c>
      <c r="D10" s="129"/>
      <c r="E10" s="129"/>
      <c r="F10" s="129"/>
      <c r="G10" s="130"/>
      <c r="H10">
        <v>22</v>
      </c>
      <c r="I10" s="1">
        <f t="shared" ref="I10:I13" si="1">+H10/33*28</f>
        <v>18.666666666666664</v>
      </c>
      <c r="J10" s="1"/>
      <c r="K10" s="1"/>
      <c r="L10" s="1">
        <v>50</v>
      </c>
      <c r="M10" s="1">
        <f t="shared" si="0"/>
        <v>68.666666666666657</v>
      </c>
      <c r="N10" s="4"/>
    </row>
    <row r="11" spans="1:14" x14ac:dyDescent="0.25">
      <c r="B11" s="6" t="s">
        <v>17</v>
      </c>
      <c r="C11" s="132" t="s">
        <v>92</v>
      </c>
      <c r="D11" s="129"/>
      <c r="E11" s="129"/>
      <c r="F11" s="129"/>
      <c r="G11" s="130"/>
      <c r="H11">
        <v>72</v>
      </c>
      <c r="I11" s="1">
        <f>+H11/33*28</f>
        <v>61.090909090909086</v>
      </c>
      <c r="J11" s="1"/>
      <c r="K11" s="1"/>
      <c r="L11" s="1">
        <v>50</v>
      </c>
      <c r="M11" s="1">
        <f>+I11+J11+K11+L11</f>
        <v>111.09090909090909</v>
      </c>
      <c r="N11" s="4" t="s">
        <v>125</v>
      </c>
    </row>
    <row r="12" spans="1:14" x14ac:dyDescent="0.25">
      <c r="B12" s="6" t="s">
        <v>15</v>
      </c>
      <c r="C12" s="132" t="s">
        <v>77</v>
      </c>
      <c r="D12" s="129"/>
      <c r="E12" s="129"/>
      <c r="F12" s="129"/>
      <c r="G12" s="130"/>
      <c r="H12">
        <v>19</v>
      </c>
      <c r="I12" s="1">
        <f t="shared" si="1"/>
        <v>16.121212121212121</v>
      </c>
      <c r="J12" s="1"/>
      <c r="K12" s="1"/>
      <c r="L12" s="1">
        <v>50</v>
      </c>
      <c r="M12" s="1">
        <f t="shared" si="0"/>
        <v>66.121212121212125</v>
      </c>
      <c r="N12" s="4" t="s">
        <v>126</v>
      </c>
    </row>
    <row r="13" spans="1:14" x14ac:dyDescent="0.25">
      <c r="B13" s="6" t="s">
        <v>16</v>
      </c>
      <c r="C13" s="132" t="s">
        <v>78</v>
      </c>
      <c r="D13" s="129"/>
      <c r="E13" s="129"/>
      <c r="F13" s="129"/>
      <c r="G13" s="130"/>
      <c r="H13">
        <v>28</v>
      </c>
      <c r="I13" s="1">
        <f t="shared" si="1"/>
        <v>23.757575757575758</v>
      </c>
      <c r="J13" s="1"/>
      <c r="K13" s="1"/>
      <c r="L13" s="1">
        <v>50</v>
      </c>
      <c r="M13" s="1">
        <f t="shared" si="0"/>
        <v>73.757575757575751</v>
      </c>
      <c r="N13" s="4"/>
    </row>
    <row r="14" spans="1:14" x14ac:dyDescent="0.25">
      <c r="B14" s="133"/>
      <c r="C14" s="134"/>
      <c r="D14" s="134"/>
      <c r="E14" s="134"/>
      <c r="F14" s="134"/>
      <c r="G14" s="135"/>
      <c r="H14" s="7">
        <f t="shared" ref="H14:M14" si="2">SUM(H9:H13)</f>
        <v>163</v>
      </c>
      <c r="I14" s="7">
        <f t="shared" si="2"/>
        <v>138.30303030303028</v>
      </c>
      <c r="J14" s="8">
        <f t="shared" si="2"/>
        <v>0</v>
      </c>
      <c r="K14" s="8">
        <f t="shared" si="2"/>
        <v>0</v>
      </c>
      <c r="L14" s="8">
        <f t="shared" si="2"/>
        <v>200</v>
      </c>
      <c r="M14" s="8">
        <f t="shared" si="2"/>
        <v>338.30303030303025</v>
      </c>
      <c r="N14" s="4"/>
    </row>
    <row r="15" spans="1:14" x14ac:dyDescent="0.25">
      <c r="A15" s="33"/>
      <c r="B15" s="136"/>
      <c r="C15" s="137"/>
      <c r="D15" s="137"/>
      <c r="E15" s="137"/>
      <c r="F15" s="137"/>
      <c r="G15" s="138"/>
      <c r="H15" s="33"/>
      <c r="I15" s="33"/>
      <c r="J15" s="33"/>
      <c r="K15" s="33"/>
      <c r="L15" s="33"/>
      <c r="M15" s="38"/>
      <c r="N15" s="4"/>
    </row>
    <row r="16" spans="1:14" x14ac:dyDescent="0.25">
      <c r="A16" s="33"/>
      <c r="B16" s="37"/>
      <c r="C16" s="37"/>
      <c r="D16" s="37"/>
      <c r="E16" s="37"/>
      <c r="F16" s="37"/>
      <c r="G16" s="37"/>
      <c r="H16" s="33"/>
      <c r="I16" s="33"/>
      <c r="J16" s="33"/>
      <c r="K16" s="33"/>
      <c r="L16" s="33"/>
      <c r="M16" s="38"/>
      <c r="N16" s="4"/>
    </row>
    <row r="17" spans="1:17" ht="15.75" thickBot="1" x14ac:dyDescent="0.3">
      <c r="A17" s="33"/>
      <c r="B17" s="128" t="s">
        <v>18</v>
      </c>
      <c r="C17" s="129"/>
      <c r="D17" s="129"/>
      <c r="E17" s="129"/>
      <c r="F17" s="129"/>
      <c r="G17" s="130"/>
      <c r="H17" s="3" t="s">
        <v>6</v>
      </c>
      <c r="I17" s="3"/>
      <c r="J17" s="3"/>
      <c r="K17" s="39">
        <f>+H24</f>
        <v>130</v>
      </c>
      <c r="L17" s="3">
        <f>+K17/33</f>
        <v>3.9393939393939394</v>
      </c>
      <c r="M17" s="4">
        <f>+L17*28</f>
        <v>110.30303030303031</v>
      </c>
      <c r="N17" s="4"/>
    </row>
    <row r="18" spans="1:17" ht="15.75" thickBot="1" x14ac:dyDescent="0.3">
      <c r="A18" s="33"/>
      <c r="B18" s="131"/>
      <c r="C18" s="129"/>
      <c r="D18" s="129"/>
      <c r="E18" s="129"/>
      <c r="F18" s="129"/>
      <c r="G18" s="129"/>
      <c r="H18" s="5" t="s">
        <v>7</v>
      </c>
      <c r="I18" s="5" t="s">
        <v>8</v>
      </c>
      <c r="J18" s="5" t="s">
        <v>9</v>
      </c>
      <c r="K18" s="5" t="s">
        <v>10</v>
      </c>
      <c r="L18" s="5" t="s">
        <v>11</v>
      </c>
      <c r="M18" s="5" t="s">
        <v>12</v>
      </c>
      <c r="N18" s="4"/>
      <c r="O18" s="126" t="s">
        <v>127</v>
      </c>
      <c r="P18" s="126"/>
    </row>
    <row r="19" spans="1:17" x14ac:dyDescent="0.25">
      <c r="A19" s="33"/>
      <c r="B19" s="6" t="s">
        <v>13</v>
      </c>
      <c r="C19" s="132" t="s">
        <v>79</v>
      </c>
      <c r="D19" s="129"/>
      <c r="E19" s="129"/>
      <c r="F19" s="129"/>
      <c r="G19" s="130"/>
      <c r="H19">
        <v>36</v>
      </c>
      <c r="I19" s="1">
        <f>+H19/33*28</f>
        <v>30.545454545454543</v>
      </c>
      <c r="J19" s="1"/>
      <c r="K19" s="1"/>
      <c r="L19" s="1">
        <v>50</v>
      </c>
      <c r="M19" s="1">
        <f t="shared" ref="M19:M23" si="3">+I19+J19+K19+L19</f>
        <v>80.545454545454547</v>
      </c>
      <c r="N19" s="4"/>
      <c r="O19" s="126"/>
      <c r="P19" s="126"/>
    </row>
    <row r="20" spans="1:17" x14ac:dyDescent="0.25">
      <c r="A20" s="33"/>
      <c r="B20" s="6" t="s">
        <v>14</v>
      </c>
      <c r="C20" s="132" t="s">
        <v>80</v>
      </c>
      <c r="D20" s="129"/>
      <c r="E20" s="129"/>
      <c r="F20" s="129"/>
      <c r="G20" s="130"/>
      <c r="H20">
        <v>26</v>
      </c>
      <c r="I20" s="1">
        <f t="shared" ref="I20:I23" si="4">+H20/33*28</f>
        <v>22.060606060606059</v>
      </c>
      <c r="J20" s="1"/>
      <c r="K20" s="1"/>
      <c r="L20" s="1">
        <v>50</v>
      </c>
      <c r="M20" s="1">
        <f t="shared" si="3"/>
        <v>72.060606060606062</v>
      </c>
      <c r="N20" s="4"/>
      <c r="O20" s="126"/>
      <c r="P20" s="126"/>
    </row>
    <row r="21" spans="1:17" x14ac:dyDescent="0.25">
      <c r="A21" s="33"/>
      <c r="B21" s="6" t="s">
        <v>15</v>
      </c>
      <c r="C21" s="132" t="s">
        <v>81</v>
      </c>
      <c r="D21" s="129"/>
      <c r="E21" s="129"/>
      <c r="F21" s="129"/>
      <c r="G21" s="130"/>
      <c r="H21">
        <v>22</v>
      </c>
      <c r="I21" s="1">
        <f t="shared" si="4"/>
        <v>18.666666666666664</v>
      </c>
      <c r="J21" s="1"/>
      <c r="K21" s="1"/>
      <c r="L21" s="1">
        <v>50</v>
      </c>
      <c r="M21" s="1">
        <f t="shared" si="3"/>
        <v>68.666666666666657</v>
      </c>
      <c r="N21" s="4"/>
    </row>
    <row r="22" spans="1:17" ht="15" customHeight="1" x14ac:dyDescent="0.25">
      <c r="A22" s="33"/>
      <c r="B22" s="6" t="s">
        <v>16</v>
      </c>
      <c r="C22" s="132" t="s">
        <v>82</v>
      </c>
      <c r="D22" s="129"/>
      <c r="E22" s="129"/>
      <c r="F22" s="129"/>
      <c r="G22" s="130"/>
      <c r="H22">
        <v>8</v>
      </c>
      <c r="I22" s="1">
        <f t="shared" si="4"/>
        <v>6.7878787878787881</v>
      </c>
      <c r="J22" s="1"/>
      <c r="K22" s="1"/>
      <c r="L22" s="1"/>
      <c r="M22" s="1">
        <f t="shared" si="3"/>
        <v>6.7878787878787881</v>
      </c>
      <c r="N22" s="4"/>
      <c r="O22" s="127" t="s">
        <v>128</v>
      </c>
      <c r="P22" s="127"/>
      <c r="Q22" s="127"/>
    </row>
    <row r="23" spans="1:17" x14ac:dyDescent="0.25">
      <c r="A23" s="33"/>
      <c r="B23" s="6" t="s">
        <v>17</v>
      </c>
      <c r="C23" s="132" t="s">
        <v>84</v>
      </c>
      <c r="D23" s="129"/>
      <c r="E23" s="129"/>
      <c r="F23" s="129"/>
      <c r="G23" s="130"/>
      <c r="H23">
        <v>38</v>
      </c>
      <c r="I23" s="1">
        <f t="shared" si="4"/>
        <v>32.242424242424242</v>
      </c>
      <c r="J23" s="1"/>
      <c r="K23" s="1"/>
      <c r="L23" s="1">
        <v>50</v>
      </c>
      <c r="M23" s="1">
        <f t="shared" si="3"/>
        <v>82.242424242424249</v>
      </c>
      <c r="N23" s="4"/>
      <c r="O23" s="127"/>
      <c r="P23" s="127"/>
      <c r="Q23" s="127"/>
    </row>
    <row r="24" spans="1:17" x14ac:dyDescent="0.25">
      <c r="A24" s="33"/>
      <c r="B24" s="133"/>
      <c r="C24" s="134"/>
      <c r="D24" s="134"/>
      <c r="E24" s="134"/>
      <c r="F24" s="134"/>
      <c r="G24" s="135"/>
      <c r="H24" s="7">
        <f>SUM(H19:H23)</f>
        <v>130</v>
      </c>
      <c r="I24" s="7">
        <f>SUM(I19:I23)</f>
        <v>110.30303030303028</v>
      </c>
      <c r="J24" s="8">
        <f t="shared" ref="J24:K24" si="5">SUM(J19:J23)</f>
        <v>0</v>
      </c>
      <c r="K24" s="8">
        <f t="shared" si="5"/>
        <v>0</v>
      </c>
      <c r="L24" s="8">
        <f>SUM(L19:L23)</f>
        <v>200</v>
      </c>
      <c r="M24" s="8">
        <f>SUM(M19:M23)</f>
        <v>310.30303030303031</v>
      </c>
      <c r="N24" s="4"/>
      <c r="O24" s="127"/>
      <c r="P24" s="127"/>
      <c r="Q24" s="127"/>
    </row>
    <row r="25" spans="1:17" x14ac:dyDescent="0.25">
      <c r="A25" s="33"/>
      <c r="B25" s="136"/>
      <c r="C25" s="137"/>
      <c r="D25" s="137"/>
      <c r="E25" s="137"/>
      <c r="F25" s="137"/>
      <c r="G25" s="138"/>
      <c r="H25" s="33"/>
      <c r="I25" s="33"/>
      <c r="J25" s="33"/>
      <c r="K25" s="33"/>
      <c r="L25" s="33"/>
      <c r="M25" s="38"/>
      <c r="N25" s="4"/>
      <c r="O25" s="127"/>
      <c r="P25" s="127"/>
      <c r="Q25" s="127"/>
    </row>
    <row r="26" spans="1:17" x14ac:dyDescent="0.25">
      <c r="A26" s="33"/>
      <c r="B26" s="37"/>
      <c r="C26" s="37"/>
      <c r="D26" s="37"/>
      <c r="E26" s="37"/>
      <c r="F26" s="37"/>
      <c r="G26" s="37"/>
      <c r="H26" s="33"/>
      <c r="I26" s="33"/>
      <c r="J26" s="33"/>
      <c r="K26" s="33"/>
      <c r="L26" s="33"/>
      <c r="M26" s="38"/>
      <c r="N26" s="4"/>
      <c r="O26" s="127"/>
      <c r="P26" s="127"/>
      <c r="Q26" s="127"/>
    </row>
    <row r="27" spans="1:17" ht="15.75" thickBot="1" x14ac:dyDescent="0.3">
      <c r="A27" s="33"/>
      <c r="B27" s="128" t="s">
        <v>29</v>
      </c>
      <c r="C27" s="129"/>
      <c r="D27" s="129"/>
      <c r="E27" s="129"/>
      <c r="F27" s="129"/>
      <c r="G27" s="130"/>
      <c r="H27" s="3" t="s">
        <v>6</v>
      </c>
      <c r="I27" s="3"/>
      <c r="J27" s="3"/>
      <c r="K27" s="39">
        <f>+H34</f>
        <v>217</v>
      </c>
      <c r="L27" s="3">
        <f>+K27/33</f>
        <v>6.5757575757575761</v>
      </c>
      <c r="M27" s="4">
        <f>+L27*28</f>
        <v>184.12121212121212</v>
      </c>
      <c r="N27" s="4"/>
    </row>
    <row r="28" spans="1:17" ht="15.75" thickBot="1" x14ac:dyDescent="0.3">
      <c r="A28" s="33"/>
      <c r="B28" s="131"/>
      <c r="C28" s="129"/>
      <c r="D28" s="129"/>
      <c r="E28" s="129"/>
      <c r="F28" s="129"/>
      <c r="G28" s="129"/>
      <c r="H28" s="5" t="s">
        <v>7</v>
      </c>
      <c r="I28" s="5" t="s">
        <v>8</v>
      </c>
      <c r="J28" s="5" t="s">
        <v>9</v>
      </c>
      <c r="K28" s="5" t="s">
        <v>10</v>
      </c>
      <c r="L28" s="5" t="s">
        <v>11</v>
      </c>
      <c r="M28" s="5" t="s">
        <v>12</v>
      </c>
      <c r="N28" s="4"/>
    </row>
    <row r="29" spans="1:17" x14ac:dyDescent="0.25">
      <c r="A29" s="33"/>
      <c r="B29" s="6" t="s">
        <v>13</v>
      </c>
      <c r="C29" s="132" t="s">
        <v>85</v>
      </c>
      <c r="D29" s="129"/>
      <c r="E29" s="129"/>
      <c r="F29" s="129"/>
      <c r="G29" s="130"/>
      <c r="H29">
        <v>43</v>
      </c>
      <c r="I29" s="1">
        <f>+H29/33*28</f>
        <v>36.484848484848484</v>
      </c>
      <c r="J29" s="1"/>
      <c r="K29" s="1"/>
      <c r="L29" s="1">
        <v>50</v>
      </c>
      <c r="M29" s="1">
        <f t="shared" ref="M29:M33" si="6">+I29+J29+K29+L29</f>
        <v>86.484848484848484</v>
      </c>
      <c r="N29" s="4"/>
    </row>
    <row r="30" spans="1:17" x14ac:dyDescent="0.25">
      <c r="A30" s="33"/>
      <c r="B30" s="6" t="s">
        <v>14</v>
      </c>
      <c r="C30" s="132" t="s">
        <v>85</v>
      </c>
      <c r="D30" s="129"/>
      <c r="E30" s="129"/>
      <c r="F30" s="129"/>
      <c r="G30" s="130"/>
      <c r="H30">
        <v>43</v>
      </c>
      <c r="I30" s="1">
        <f t="shared" ref="I30:I33" si="7">+H30/33*28</f>
        <v>36.484848484848484</v>
      </c>
      <c r="J30" s="1"/>
      <c r="K30" s="1"/>
      <c r="L30" s="1">
        <v>50</v>
      </c>
      <c r="M30" s="1">
        <f t="shared" si="6"/>
        <v>86.484848484848484</v>
      </c>
      <c r="N30" s="4"/>
    </row>
    <row r="31" spans="1:17" x14ac:dyDescent="0.25">
      <c r="A31" s="33"/>
      <c r="B31" s="6" t="s">
        <v>15</v>
      </c>
      <c r="C31" s="132" t="s">
        <v>129</v>
      </c>
      <c r="D31" s="129"/>
      <c r="E31" s="129"/>
      <c r="F31" s="129"/>
      <c r="G31" s="130"/>
      <c r="H31">
        <v>36</v>
      </c>
      <c r="I31" s="1">
        <f t="shared" si="7"/>
        <v>30.545454545454543</v>
      </c>
      <c r="J31" s="1"/>
      <c r="K31" s="1"/>
      <c r="L31" s="1">
        <v>50</v>
      </c>
      <c r="M31" s="1">
        <f t="shared" si="6"/>
        <v>80.545454545454547</v>
      </c>
      <c r="N31" s="4"/>
    </row>
    <row r="32" spans="1:17" x14ac:dyDescent="0.25">
      <c r="A32" s="33"/>
      <c r="B32" s="6" t="s">
        <v>16</v>
      </c>
      <c r="C32" s="132" t="s">
        <v>86</v>
      </c>
      <c r="D32" s="129"/>
      <c r="E32" s="129"/>
      <c r="F32" s="129"/>
      <c r="G32" s="130"/>
      <c r="H32">
        <v>29</v>
      </c>
      <c r="I32" s="1">
        <f t="shared" si="7"/>
        <v>24.606060606060606</v>
      </c>
      <c r="J32" s="1"/>
      <c r="K32" s="1"/>
      <c r="L32" s="1">
        <v>50</v>
      </c>
      <c r="M32" s="1">
        <f t="shared" si="6"/>
        <v>74.606060606060609</v>
      </c>
      <c r="N32" s="4"/>
    </row>
    <row r="33" spans="1:14" x14ac:dyDescent="0.25">
      <c r="A33" s="33"/>
      <c r="B33" s="6" t="s">
        <v>17</v>
      </c>
      <c r="C33" s="132" t="s">
        <v>88</v>
      </c>
      <c r="D33" s="129"/>
      <c r="E33" s="129"/>
      <c r="F33" s="129"/>
      <c r="G33" s="130"/>
      <c r="H33">
        <v>66</v>
      </c>
      <c r="I33" s="1">
        <f t="shared" si="7"/>
        <v>56</v>
      </c>
      <c r="J33" s="1"/>
      <c r="K33" s="1"/>
      <c r="L33" s="1">
        <v>50</v>
      </c>
      <c r="M33" s="1">
        <f t="shared" si="6"/>
        <v>106</v>
      </c>
      <c r="N33" s="4"/>
    </row>
    <row r="34" spans="1:14" x14ac:dyDescent="0.25">
      <c r="A34" s="33"/>
      <c r="B34" s="133"/>
      <c r="C34" s="134"/>
      <c r="D34" s="134"/>
      <c r="E34" s="134"/>
      <c r="F34" s="134"/>
      <c r="G34" s="135"/>
      <c r="H34" s="7">
        <f>SUM(H29:H33)</f>
        <v>217</v>
      </c>
      <c r="I34" s="7">
        <f>SUM(I29:I33)</f>
        <v>184.12121212121212</v>
      </c>
      <c r="J34" s="8">
        <f t="shared" ref="J34:K34" si="8">SUM(J29:J33)</f>
        <v>0</v>
      </c>
      <c r="K34" s="8">
        <f t="shared" si="8"/>
        <v>0</v>
      </c>
      <c r="L34" s="8">
        <f>SUM(L29:L33)</f>
        <v>250</v>
      </c>
      <c r="M34" s="8">
        <f>SUM(M29:M33)</f>
        <v>434.12121212121212</v>
      </c>
      <c r="N34" s="4"/>
    </row>
    <row r="35" spans="1:14" x14ac:dyDescent="0.25">
      <c r="A35" s="33"/>
      <c r="B35" s="136"/>
      <c r="C35" s="137"/>
      <c r="D35" s="137"/>
      <c r="E35" s="137"/>
      <c r="F35" s="137"/>
      <c r="G35" s="138"/>
      <c r="H35" s="33"/>
      <c r="I35" s="33"/>
      <c r="J35" s="33"/>
      <c r="K35" s="33"/>
      <c r="L35" s="33"/>
      <c r="M35" s="38"/>
      <c r="N35" s="4"/>
    </row>
    <row r="36" spans="1:14" x14ac:dyDescent="0.25">
      <c r="A36" s="33"/>
      <c r="B36" s="37"/>
      <c r="C36" s="37"/>
      <c r="D36" s="37"/>
      <c r="E36" s="37"/>
      <c r="F36" s="37"/>
      <c r="G36" s="37"/>
      <c r="H36" s="33"/>
      <c r="I36" s="33"/>
      <c r="J36" s="33"/>
      <c r="K36" s="33"/>
      <c r="L36" s="33"/>
      <c r="M36" s="38"/>
      <c r="N36" s="4"/>
    </row>
    <row r="37" spans="1:14" ht="15.75" thickBot="1" x14ac:dyDescent="0.3">
      <c r="A37" s="33"/>
      <c r="B37" s="128" t="s">
        <v>61</v>
      </c>
      <c r="C37" s="129"/>
      <c r="D37" s="129"/>
      <c r="E37" s="129"/>
      <c r="F37" s="129"/>
      <c r="G37" s="130"/>
      <c r="H37" s="3" t="s">
        <v>6</v>
      </c>
      <c r="I37" s="3"/>
      <c r="J37" s="3"/>
      <c r="K37" s="39">
        <f>+H44</f>
        <v>328</v>
      </c>
      <c r="L37" s="3">
        <f>+K37/33</f>
        <v>9.9393939393939394</v>
      </c>
      <c r="M37" s="4">
        <f>+L37*28</f>
        <v>278.30303030303031</v>
      </c>
      <c r="N37" s="4"/>
    </row>
    <row r="38" spans="1:14" ht="15.75" thickBot="1" x14ac:dyDescent="0.3">
      <c r="A38" s="33"/>
      <c r="B38" s="131"/>
      <c r="C38" s="129"/>
      <c r="D38" s="129"/>
      <c r="E38" s="129"/>
      <c r="F38" s="129"/>
      <c r="G38" s="129"/>
      <c r="H38" s="5" t="s">
        <v>7</v>
      </c>
      <c r="I38" s="5" t="s">
        <v>8</v>
      </c>
      <c r="J38" s="5" t="s">
        <v>9</v>
      </c>
      <c r="K38" s="5" t="s">
        <v>10</v>
      </c>
      <c r="L38" s="5" t="s">
        <v>11</v>
      </c>
      <c r="M38" s="5" t="s">
        <v>12</v>
      </c>
      <c r="N38" s="4"/>
    </row>
    <row r="39" spans="1:14" x14ac:dyDescent="0.25">
      <c r="A39" s="33"/>
      <c r="B39" s="6" t="s">
        <v>13</v>
      </c>
      <c r="C39" s="132" t="s">
        <v>89</v>
      </c>
      <c r="D39" s="129"/>
      <c r="E39" s="129"/>
      <c r="F39" s="129"/>
      <c r="G39" s="130"/>
      <c r="H39">
        <v>32</v>
      </c>
      <c r="I39" s="1">
        <f>+H39/33*28</f>
        <v>27.151515151515152</v>
      </c>
      <c r="J39" s="1"/>
      <c r="K39" s="1"/>
      <c r="L39" s="1">
        <v>50</v>
      </c>
      <c r="M39" s="1">
        <f t="shared" ref="M39:M43" si="9">+I39+J39+K39+L39</f>
        <v>77.151515151515156</v>
      </c>
      <c r="N39" s="4"/>
    </row>
    <row r="40" spans="1:14" x14ac:dyDescent="0.25">
      <c r="A40" s="33"/>
      <c r="B40" s="6" t="s">
        <v>14</v>
      </c>
      <c r="C40" s="132" t="s">
        <v>90</v>
      </c>
      <c r="D40" s="129"/>
      <c r="E40" s="129"/>
      <c r="F40" s="129"/>
      <c r="G40" s="130"/>
      <c r="H40">
        <v>48</v>
      </c>
      <c r="I40" s="1">
        <f t="shared" ref="I40:I43" si="10">+H40/33*28</f>
        <v>40.727272727272727</v>
      </c>
      <c r="J40" s="1"/>
      <c r="K40" s="1"/>
      <c r="L40" s="1">
        <v>50</v>
      </c>
      <c r="M40" s="1">
        <f t="shared" si="9"/>
        <v>90.72727272727272</v>
      </c>
      <c r="N40" s="4"/>
    </row>
    <row r="41" spans="1:14" x14ac:dyDescent="0.25">
      <c r="A41" s="33"/>
      <c r="B41" s="6" t="s">
        <v>15</v>
      </c>
      <c r="C41" s="132" t="s">
        <v>91</v>
      </c>
      <c r="D41" s="129"/>
      <c r="E41" s="129"/>
      <c r="F41" s="129"/>
      <c r="G41" s="130"/>
      <c r="H41">
        <v>58</v>
      </c>
      <c r="I41" s="1">
        <f t="shared" si="10"/>
        <v>49.212121212121211</v>
      </c>
      <c r="J41" s="1"/>
      <c r="K41" s="1"/>
      <c r="L41" s="1">
        <v>50</v>
      </c>
      <c r="M41" s="1">
        <f t="shared" si="9"/>
        <v>99.212121212121218</v>
      </c>
      <c r="N41" s="4"/>
    </row>
    <row r="42" spans="1:14" x14ac:dyDescent="0.25">
      <c r="A42" s="33"/>
      <c r="B42" s="6" t="s">
        <v>16</v>
      </c>
      <c r="C42" s="132" t="s">
        <v>130</v>
      </c>
      <c r="D42" s="129"/>
      <c r="E42" s="129"/>
      <c r="F42" s="129"/>
      <c r="G42" s="130"/>
      <c r="H42">
        <v>120</v>
      </c>
      <c r="I42" s="1">
        <f t="shared" si="10"/>
        <v>101.81818181818181</v>
      </c>
      <c r="J42" s="1">
        <v>125</v>
      </c>
      <c r="K42" s="1"/>
      <c r="L42" s="1">
        <f>50+35</f>
        <v>85</v>
      </c>
      <c r="M42" s="1">
        <f t="shared" si="9"/>
        <v>311.81818181818181</v>
      </c>
      <c r="N42" s="4"/>
    </row>
    <row r="43" spans="1:14" x14ac:dyDescent="0.25">
      <c r="A43" s="33"/>
      <c r="B43" s="6" t="s">
        <v>17</v>
      </c>
      <c r="C43" s="132" t="s">
        <v>131</v>
      </c>
      <c r="D43" s="129"/>
      <c r="E43" s="129"/>
      <c r="F43" s="129"/>
      <c r="G43" s="130"/>
      <c r="H43">
        <v>70</v>
      </c>
      <c r="I43" s="1">
        <f t="shared" si="10"/>
        <v>59.393939393939391</v>
      </c>
      <c r="J43" s="1"/>
      <c r="K43" s="1"/>
      <c r="L43" s="1">
        <f>35+50</f>
        <v>85</v>
      </c>
      <c r="M43" s="1">
        <f t="shared" si="9"/>
        <v>144.39393939393938</v>
      </c>
      <c r="N43" s="4"/>
    </row>
    <row r="44" spans="1:14" x14ac:dyDescent="0.25">
      <c r="A44" s="33"/>
      <c r="B44" s="133"/>
      <c r="C44" s="134"/>
      <c r="D44" s="134"/>
      <c r="E44" s="134"/>
      <c r="F44" s="134"/>
      <c r="G44" s="135"/>
      <c r="H44" s="7">
        <f>SUM(H39:H43)</f>
        <v>328</v>
      </c>
      <c r="I44" s="7">
        <f>SUM(I39:I43)</f>
        <v>278.30303030303031</v>
      </c>
      <c r="J44" s="8">
        <f t="shared" ref="J44:K44" si="11">SUM(J39:J43)</f>
        <v>125</v>
      </c>
      <c r="K44" s="8">
        <f t="shared" si="11"/>
        <v>0</v>
      </c>
      <c r="L44" s="8">
        <f>SUM(L39:L43)</f>
        <v>320</v>
      </c>
      <c r="M44" s="8">
        <f>SUM(M39:M43)</f>
        <v>723.30303030303037</v>
      </c>
      <c r="N44" s="4"/>
    </row>
    <row r="45" spans="1:14" x14ac:dyDescent="0.25">
      <c r="A45" s="33"/>
      <c r="B45" s="136"/>
      <c r="C45" s="137"/>
      <c r="D45" s="137"/>
      <c r="E45" s="137"/>
      <c r="F45" s="137"/>
      <c r="G45" s="138"/>
      <c r="H45" s="33"/>
      <c r="I45" s="33"/>
      <c r="J45" s="33"/>
      <c r="K45" s="33"/>
      <c r="L45" s="33"/>
      <c r="M45" s="38"/>
      <c r="N45" s="4"/>
    </row>
    <row r="46" spans="1:14" x14ac:dyDescent="0.25">
      <c r="A46" s="33"/>
      <c r="B46" s="88" t="s">
        <v>165</v>
      </c>
      <c r="C46" s="88" t="s">
        <v>166</v>
      </c>
      <c r="D46" s="37"/>
      <c r="E46" s="37"/>
      <c r="F46" s="37"/>
      <c r="G46" s="37"/>
      <c r="H46" s="33"/>
      <c r="I46" s="33"/>
      <c r="J46" s="33"/>
      <c r="K46" s="33"/>
      <c r="L46" s="33"/>
      <c r="M46" s="38"/>
      <c r="N46" s="4"/>
    </row>
    <row r="47" spans="1:14" ht="15.75" customHeight="1" x14ac:dyDescent="0.25">
      <c r="C47" s="3" t="s">
        <v>167</v>
      </c>
      <c r="E47" s="1"/>
      <c r="F47" s="1"/>
    </row>
    <row r="48" spans="1:14" ht="15.75" customHeight="1" x14ac:dyDescent="0.25">
      <c r="C48" s="3" t="s">
        <v>168</v>
      </c>
      <c r="E48" s="1"/>
      <c r="F48" s="1"/>
    </row>
    <row r="49" spans="3:15" ht="15.75" customHeight="1" x14ac:dyDescent="0.25">
      <c r="C49" s="3" t="s">
        <v>169</v>
      </c>
      <c r="E49" s="1"/>
      <c r="F49" s="1"/>
    </row>
    <row r="50" spans="3:15" ht="15.75" customHeight="1" x14ac:dyDescent="0.25">
      <c r="C50" s="3"/>
      <c r="E50" s="1"/>
      <c r="F50" s="1"/>
    </row>
    <row r="51" spans="3:15" ht="15.75" customHeight="1" x14ac:dyDescent="0.25">
      <c r="C51" s="3"/>
      <c r="E51" s="1"/>
      <c r="F51" s="1"/>
    </row>
    <row r="52" spans="3:15" ht="15.75" customHeight="1" x14ac:dyDescent="0.25">
      <c r="C52" s="3"/>
      <c r="E52" s="1"/>
      <c r="F52" s="1"/>
    </row>
    <row r="53" spans="3:15" ht="15.75" customHeight="1" x14ac:dyDescent="0.25">
      <c r="C53" t="s">
        <v>132</v>
      </c>
      <c r="M53" s="1"/>
      <c r="N53" s="1"/>
    </row>
    <row r="54" spans="3:15" ht="15.75" customHeight="1" x14ac:dyDescent="0.25">
      <c r="M54" s="1"/>
      <c r="N54" s="1"/>
    </row>
    <row r="55" spans="3:15" ht="15.75" customHeight="1" x14ac:dyDescent="0.25">
      <c r="C55" t="s">
        <v>133</v>
      </c>
      <c r="F55" t="s">
        <v>134</v>
      </c>
      <c r="I55" s="87" t="s">
        <v>135</v>
      </c>
      <c r="L55" t="s">
        <v>136</v>
      </c>
      <c r="M55" s="1"/>
      <c r="N55" s="1"/>
      <c r="O55" t="s">
        <v>137</v>
      </c>
    </row>
    <row r="56" spans="3:15" ht="15.75" customHeight="1" x14ac:dyDescent="0.25"/>
    <row r="57" spans="3:15" ht="15.75" customHeight="1" x14ac:dyDescent="0.25"/>
    <row r="58" spans="3:15" ht="15.75" customHeight="1" x14ac:dyDescent="0.25"/>
    <row r="59" spans="3:15" ht="15.75" customHeight="1" x14ac:dyDescent="0.25"/>
    <row r="60" spans="3:15" ht="15.75" customHeight="1" x14ac:dyDescent="0.25"/>
    <row r="61" spans="3:15" ht="15.75" customHeight="1" x14ac:dyDescent="0.25"/>
    <row r="62" spans="3:15" ht="15.75" customHeight="1" x14ac:dyDescent="0.25"/>
    <row r="63" spans="3:15" ht="15.75" customHeight="1" x14ac:dyDescent="0.25"/>
    <row r="64" spans="3:15" ht="15.75" customHeight="1" x14ac:dyDescent="0.25"/>
    <row r="65" spans="3:14" ht="15.75" customHeight="1" x14ac:dyDescent="0.25"/>
    <row r="66" spans="3:14" ht="15.75" customHeight="1" x14ac:dyDescent="0.25"/>
    <row r="67" spans="3:14" ht="15.75" customHeight="1" x14ac:dyDescent="0.25"/>
    <row r="68" spans="3:14" ht="15.75" customHeight="1" x14ac:dyDescent="0.25"/>
    <row r="69" spans="3:14" ht="15.75" customHeight="1" x14ac:dyDescent="0.25">
      <c r="M69" s="1"/>
      <c r="N69" s="1"/>
    </row>
    <row r="70" spans="3:14" ht="15.75" customHeight="1" x14ac:dyDescent="0.25">
      <c r="M70" s="1"/>
      <c r="N70" s="1"/>
    </row>
    <row r="71" spans="3:14" ht="15.75" customHeight="1" x14ac:dyDescent="0.25">
      <c r="M71" s="1"/>
      <c r="N71" s="1"/>
    </row>
    <row r="72" spans="3:14" ht="15.75" customHeight="1" x14ac:dyDescent="0.25">
      <c r="C72" t="s">
        <v>138</v>
      </c>
      <c r="F72" t="s">
        <v>139</v>
      </c>
      <c r="I72" t="s">
        <v>140</v>
      </c>
      <c r="L72" t="s">
        <v>141</v>
      </c>
      <c r="M72" s="1"/>
      <c r="N72" s="1"/>
    </row>
    <row r="73" spans="3:14" ht="15.75" customHeight="1" x14ac:dyDescent="0.25">
      <c r="C73" t="s">
        <v>142</v>
      </c>
      <c r="F73" t="s">
        <v>143</v>
      </c>
      <c r="I73" t="s">
        <v>144</v>
      </c>
      <c r="L73" t="s">
        <v>145</v>
      </c>
      <c r="M73" s="1"/>
      <c r="N73" s="1"/>
    </row>
    <row r="74" spans="3:14" ht="15.75" customHeight="1" x14ac:dyDescent="0.25">
      <c r="C74" t="s">
        <v>146</v>
      </c>
      <c r="F74" t="s">
        <v>147</v>
      </c>
      <c r="I74" t="s">
        <v>148</v>
      </c>
      <c r="L74" t="s">
        <v>149</v>
      </c>
      <c r="M74" s="1"/>
      <c r="N74" s="1"/>
    </row>
    <row r="75" spans="3:14" ht="15.75" customHeight="1" x14ac:dyDescent="0.25">
      <c r="C75" t="s">
        <v>150</v>
      </c>
      <c r="F75" t="s">
        <v>151</v>
      </c>
      <c r="I75" t="s">
        <v>152</v>
      </c>
      <c r="L75" t="s">
        <v>153</v>
      </c>
      <c r="M75" s="1"/>
      <c r="N75" s="1"/>
    </row>
    <row r="76" spans="3:14" ht="15.75" customHeight="1" x14ac:dyDescent="0.25">
      <c r="C76" t="s">
        <v>154</v>
      </c>
      <c r="F76" t="s">
        <v>155</v>
      </c>
      <c r="I76" t="s">
        <v>156</v>
      </c>
      <c r="L76" t="s">
        <v>157</v>
      </c>
      <c r="M76" s="1"/>
      <c r="N76" s="1"/>
    </row>
    <row r="77" spans="3:14" ht="15.75" customHeight="1" x14ac:dyDescent="0.25">
      <c r="C77" t="s">
        <v>158</v>
      </c>
      <c r="F77" t="s">
        <v>159</v>
      </c>
      <c r="I77" t="s">
        <v>160</v>
      </c>
      <c r="L77" t="s">
        <v>161</v>
      </c>
      <c r="M77" s="1"/>
      <c r="N77" s="1"/>
    </row>
    <row r="78" spans="3:14" ht="15.75" customHeight="1" x14ac:dyDescent="0.25">
      <c r="C78" t="s">
        <v>162</v>
      </c>
      <c r="M78" s="1"/>
      <c r="N78" s="1"/>
    </row>
    <row r="79" spans="3:14" ht="15.75" customHeight="1" x14ac:dyDescent="0.25">
      <c r="M79" s="1"/>
      <c r="N79" s="1"/>
    </row>
    <row r="80" spans="3:14" ht="15.75" customHeight="1" x14ac:dyDescent="0.25">
      <c r="M80" s="1"/>
      <c r="N80" s="1"/>
    </row>
    <row r="81" spans="13:14" ht="15.75" customHeight="1" x14ac:dyDescent="0.25">
      <c r="M81" s="1"/>
      <c r="N81" s="1"/>
    </row>
    <row r="82" spans="13:14" ht="15.75" customHeight="1" x14ac:dyDescent="0.25">
      <c r="M82" s="1"/>
      <c r="N82" s="1"/>
    </row>
    <row r="83" spans="13:14" ht="15.75" customHeight="1" x14ac:dyDescent="0.25">
      <c r="M83" s="1"/>
      <c r="N83" s="1"/>
    </row>
    <row r="84" spans="13:14" ht="15.75" customHeight="1" x14ac:dyDescent="0.25">
      <c r="M84" s="1"/>
      <c r="N84" s="1"/>
    </row>
    <row r="85" spans="13:14" ht="15.75" customHeight="1" x14ac:dyDescent="0.25">
      <c r="M85" s="1"/>
      <c r="N85" s="1"/>
    </row>
    <row r="86" spans="13:14" ht="15.75" customHeight="1" x14ac:dyDescent="0.25">
      <c r="M86" s="1"/>
      <c r="N86" s="1"/>
    </row>
    <row r="87" spans="13:14" ht="15.75" customHeight="1" x14ac:dyDescent="0.25">
      <c r="M87" s="1"/>
      <c r="N87" s="1"/>
    </row>
    <row r="88" spans="13:14" ht="15.75" customHeight="1" x14ac:dyDescent="0.25">
      <c r="M88" s="1"/>
      <c r="N88" s="1"/>
    </row>
    <row r="89" spans="13:14" ht="15.75" customHeight="1" x14ac:dyDescent="0.25">
      <c r="M89" s="1"/>
      <c r="N89" s="1"/>
    </row>
    <row r="90" spans="13:14" ht="15.75" customHeight="1" x14ac:dyDescent="0.25">
      <c r="M90" s="1"/>
      <c r="N90" s="1"/>
    </row>
    <row r="91" spans="13:14" ht="15.75" customHeight="1" x14ac:dyDescent="0.25">
      <c r="M91" s="1"/>
      <c r="N91" s="1"/>
    </row>
    <row r="92" spans="13:14" ht="15.75" customHeight="1" x14ac:dyDescent="0.25">
      <c r="M92" s="1"/>
      <c r="N92" s="1"/>
    </row>
    <row r="93" spans="13:14" ht="15.75" customHeight="1" x14ac:dyDescent="0.25">
      <c r="M93" s="1"/>
      <c r="N93" s="1"/>
    </row>
    <row r="94" spans="13:14" ht="15.75" customHeight="1" x14ac:dyDescent="0.25">
      <c r="M94" s="1"/>
      <c r="N94" s="1"/>
    </row>
    <row r="95" spans="13:14" ht="15.75" customHeight="1" x14ac:dyDescent="0.25">
      <c r="M95" s="1"/>
      <c r="N95" s="1"/>
    </row>
    <row r="96" spans="13:14" ht="15.75" customHeight="1" x14ac:dyDescent="0.25">
      <c r="M96" s="1"/>
      <c r="N96" s="1"/>
    </row>
    <row r="97" spans="13:14" ht="15.75" customHeight="1" x14ac:dyDescent="0.25">
      <c r="M97" s="1"/>
      <c r="N97" s="1"/>
    </row>
    <row r="98" spans="13:14" ht="15.75" customHeight="1" x14ac:dyDescent="0.25">
      <c r="M98" s="1"/>
      <c r="N98" s="1"/>
    </row>
    <row r="99" spans="13:14" ht="15.75" customHeight="1" x14ac:dyDescent="0.25">
      <c r="M99" s="1"/>
      <c r="N99" s="1"/>
    </row>
    <row r="100" spans="13:14" ht="15.75" customHeight="1" x14ac:dyDescent="0.25">
      <c r="M100" s="1"/>
      <c r="N100" s="1"/>
    </row>
    <row r="101" spans="13:14" ht="15.75" customHeight="1" x14ac:dyDescent="0.25">
      <c r="M101" s="1"/>
      <c r="N101" s="1"/>
    </row>
    <row r="102" spans="13:14" ht="15.75" customHeight="1" x14ac:dyDescent="0.25">
      <c r="M102" s="1"/>
      <c r="N102" s="1"/>
    </row>
    <row r="103" spans="13:14" ht="15.75" customHeight="1" x14ac:dyDescent="0.25">
      <c r="M103" s="1"/>
      <c r="N103" s="1"/>
    </row>
    <row r="104" spans="13:14" ht="15.75" customHeight="1" x14ac:dyDescent="0.25">
      <c r="M104" s="1"/>
      <c r="N104" s="1"/>
    </row>
    <row r="105" spans="13:14" ht="15.75" customHeight="1" x14ac:dyDescent="0.25">
      <c r="M105" s="1"/>
      <c r="N105" s="1"/>
    </row>
    <row r="106" spans="13:14" ht="15.75" customHeight="1" x14ac:dyDescent="0.25">
      <c r="M106" s="1"/>
      <c r="N106" s="1"/>
    </row>
    <row r="107" spans="13:14" ht="15.75" customHeight="1" x14ac:dyDescent="0.25">
      <c r="M107" s="1"/>
      <c r="N107" s="1"/>
    </row>
    <row r="108" spans="13:14" ht="15.75" customHeight="1" x14ac:dyDescent="0.25">
      <c r="M108" s="1"/>
      <c r="N108" s="1"/>
    </row>
    <row r="109" spans="13:14" ht="15.75" customHeight="1" x14ac:dyDescent="0.25">
      <c r="M109" s="1"/>
      <c r="N109" s="1"/>
    </row>
    <row r="110" spans="13:14" ht="15.75" customHeight="1" x14ac:dyDescent="0.25">
      <c r="M110" s="1"/>
      <c r="N110" s="1"/>
    </row>
    <row r="111" spans="13:14" ht="15.75" customHeight="1" x14ac:dyDescent="0.25">
      <c r="M111" s="1"/>
      <c r="N111" s="1"/>
    </row>
    <row r="112" spans="13:14" ht="15.75" customHeight="1" x14ac:dyDescent="0.25">
      <c r="M112" s="1"/>
      <c r="N112" s="1"/>
    </row>
    <row r="113" spans="13:14" ht="15.75" customHeight="1" x14ac:dyDescent="0.25">
      <c r="M113" s="1"/>
      <c r="N113" s="1"/>
    </row>
    <row r="114" spans="13:14" ht="15.75" customHeight="1" x14ac:dyDescent="0.25">
      <c r="M114" s="1"/>
      <c r="N114" s="1"/>
    </row>
    <row r="115" spans="13:14" ht="15.75" customHeight="1" x14ac:dyDescent="0.25">
      <c r="M115" s="1"/>
      <c r="N115" s="1"/>
    </row>
    <row r="116" spans="13:14" ht="15.75" customHeight="1" x14ac:dyDescent="0.25">
      <c r="M116" s="1"/>
      <c r="N116" s="1"/>
    </row>
    <row r="117" spans="13:14" ht="15.75" customHeight="1" x14ac:dyDescent="0.25">
      <c r="M117" s="1"/>
      <c r="N117" s="1"/>
    </row>
    <row r="118" spans="13:14" ht="15.75" customHeight="1" x14ac:dyDescent="0.25">
      <c r="M118" s="1"/>
      <c r="N118" s="1"/>
    </row>
    <row r="119" spans="13:14" ht="15.75" customHeight="1" x14ac:dyDescent="0.25">
      <c r="M119" s="1"/>
      <c r="N119" s="1"/>
    </row>
    <row r="120" spans="13:14" ht="15.75" customHeight="1" x14ac:dyDescent="0.25">
      <c r="M120" s="1"/>
      <c r="N120" s="1"/>
    </row>
    <row r="121" spans="13:14" ht="15.75" customHeight="1" x14ac:dyDescent="0.25">
      <c r="M121" s="1"/>
      <c r="N121" s="1"/>
    </row>
  </sheetData>
  <mergeCells count="39">
    <mergeCell ref="B44:G45"/>
    <mergeCell ref="C39:G39"/>
    <mergeCell ref="C40:G40"/>
    <mergeCell ref="C41:G41"/>
    <mergeCell ref="C42:G42"/>
    <mergeCell ref="C43:G43"/>
    <mergeCell ref="C32:G32"/>
    <mergeCell ref="C33:G33"/>
    <mergeCell ref="B34:G35"/>
    <mergeCell ref="B37:G37"/>
    <mergeCell ref="B38:G38"/>
    <mergeCell ref="B28:G28"/>
    <mergeCell ref="C29:G29"/>
    <mergeCell ref="C30:G30"/>
    <mergeCell ref="C31:G31"/>
    <mergeCell ref="C22:G22"/>
    <mergeCell ref="C23:G23"/>
    <mergeCell ref="B24:G25"/>
    <mergeCell ref="B27:G27"/>
    <mergeCell ref="B1:G1"/>
    <mergeCell ref="C2:G2"/>
    <mergeCell ref="C3:G3"/>
    <mergeCell ref="C4:G4"/>
    <mergeCell ref="B5:G6"/>
    <mergeCell ref="O18:P20"/>
    <mergeCell ref="O22:Q26"/>
    <mergeCell ref="B7:G7"/>
    <mergeCell ref="B8:G8"/>
    <mergeCell ref="C10:G10"/>
    <mergeCell ref="C9:G9"/>
    <mergeCell ref="C12:G12"/>
    <mergeCell ref="C13:G13"/>
    <mergeCell ref="C11:G11"/>
    <mergeCell ref="B14:G15"/>
    <mergeCell ref="B17:G17"/>
    <mergeCell ref="B18:G18"/>
    <mergeCell ref="C19:G19"/>
    <mergeCell ref="C20:G20"/>
    <mergeCell ref="C21:G21"/>
  </mergeCells>
  <pageMargins left="0.23622047244094491" right="0.23622047244094491" top="0.74803149606299213" bottom="0.74803149606299213" header="0" footer="0"/>
  <pageSetup scale="85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N63"/>
  <sheetViews>
    <sheetView workbookViewId="0">
      <selection activeCell="C30" sqref="C30:G30"/>
    </sheetView>
  </sheetViews>
  <sheetFormatPr baseColWidth="10" defaultColWidth="14.42578125" defaultRowHeight="15" customHeight="1" x14ac:dyDescent="0.25"/>
  <cols>
    <col min="1" max="1" width="5.5703125" customWidth="1"/>
    <col min="2" max="2" width="14.85546875" customWidth="1"/>
    <col min="3" max="6" width="11.42578125" customWidth="1"/>
    <col min="7" max="7" width="21.7109375" customWidth="1"/>
    <col min="8" max="8" width="11.42578125" customWidth="1"/>
    <col min="9" max="9" width="14.85546875" customWidth="1"/>
    <col min="10" max="13" width="11.42578125" customWidth="1"/>
    <col min="14" max="14" width="11.140625" customWidth="1"/>
  </cols>
  <sheetData>
    <row r="1" spans="2:14" x14ac:dyDescent="0.25">
      <c r="M1" s="1"/>
      <c r="N1" s="1"/>
    </row>
    <row r="2" spans="2:14" ht="33.75" x14ac:dyDescent="0.5">
      <c r="B2" s="170" t="s">
        <v>0</v>
      </c>
      <c r="C2" s="148"/>
      <c r="D2" s="148"/>
      <c r="E2" s="148"/>
      <c r="F2" s="148"/>
      <c r="G2" s="149"/>
      <c r="M2" s="1"/>
      <c r="N2" s="1"/>
    </row>
    <row r="3" spans="2:14" x14ac:dyDescent="0.25">
      <c r="B3" s="2" t="s">
        <v>1</v>
      </c>
      <c r="C3" s="147" t="s">
        <v>19</v>
      </c>
      <c r="D3" s="148"/>
      <c r="E3" s="148"/>
      <c r="F3" s="148"/>
      <c r="G3" s="149"/>
      <c r="M3" s="1"/>
      <c r="N3" s="1"/>
    </row>
    <row r="4" spans="2:14" x14ac:dyDescent="0.25">
      <c r="B4" s="2" t="s">
        <v>2</v>
      </c>
      <c r="C4" s="147" t="s">
        <v>20</v>
      </c>
      <c r="D4" s="148"/>
      <c r="E4" s="148"/>
      <c r="F4" s="148"/>
      <c r="G4" s="149"/>
      <c r="M4" s="1"/>
      <c r="N4" s="1"/>
    </row>
    <row r="5" spans="2:14" x14ac:dyDescent="0.25">
      <c r="B5" s="2" t="s">
        <v>4</v>
      </c>
      <c r="C5" s="147" t="s">
        <v>97</v>
      </c>
      <c r="D5" s="148"/>
      <c r="E5" s="148"/>
      <c r="F5" s="148"/>
      <c r="G5" s="149"/>
      <c r="M5" s="1"/>
      <c r="N5" s="1"/>
    </row>
    <row r="6" spans="2:14" x14ac:dyDescent="0.25">
      <c r="B6" s="150"/>
      <c r="C6" s="151"/>
      <c r="D6" s="151"/>
      <c r="E6" s="151"/>
      <c r="F6" s="151"/>
      <c r="G6" s="152"/>
      <c r="M6" s="1"/>
      <c r="N6" s="1"/>
    </row>
    <row r="7" spans="2:14" x14ac:dyDescent="0.25">
      <c r="B7" s="153"/>
      <c r="C7" s="154"/>
      <c r="D7" s="154"/>
      <c r="E7" s="154"/>
      <c r="F7" s="154"/>
      <c r="G7" s="155"/>
      <c r="M7" s="1"/>
      <c r="N7" s="1"/>
    </row>
    <row r="8" spans="2:14" x14ac:dyDescent="0.25">
      <c r="B8" s="158" t="s">
        <v>5</v>
      </c>
      <c r="C8" s="148"/>
      <c r="D8" s="148"/>
      <c r="E8" s="148"/>
      <c r="F8" s="148"/>
      <c r="G8" s="157"/>
      <c r="H8" s="144" t="s">
        <v>6</v>
      </c>
      <c r="I8" s="145"/>
      <c r="J8" s="146"/>
      <c r="K8" s="3">
        <f>50+70+90+90+90+200</f>
        <v>590</v>
      </c>
      <c r="L8" s="3">
        <f>+K8/33</f>
        <v>17.878787878787879</v>
      </c>
      <c r="M8" s="4">
        <f>+L8*28</f>
        <v>500.60606060606062</v>
      </c>
      <c r="N8" s="4">
        <v>565</v>
      </c>
    </row>
    <row r="9" spans="2:14" x14ac:dyDescent="0.25">
      <c r="B9" s="156"/>
      <c r="C9" s="148"/>
      <c r="D9" s="148"/>
      <c r="E9" s="148"/>
      <c r="F9" s="148"/>
      <c r="G9" s="157"/>
      <c r="H9" s="5" t="s">
        <v>7</v>
      </c>
      <c r="I9" s="5" t="s">
        <v>8</v>
      </c>
      <c r="J9" s="5" t="s">
        <v>9</v>
      </c>
      <c r="K9" s="5" t="s">
        <v>10</v>
      </c>
      <c r="L9" s="5" t="s">
        <v>11</v>
      </c>
      <c r="M9" s="9" t="s">
        <v>12</v>
      </c>
      <c r="N9" s="1"/>
    </row>
    <row r="10" spans="2:14" x14ac:dyDescent="0.25">
      <c r="B10" s="6" t="s">
        <v>13</v>
      </c>
      <c r="C10" s="147" t="s">
        <v>21</v>
      </c>
      <c r="D10" s="148"/>
      <c r="E10" s="148"/>
      <c r="F10" s="148"/>
      <c r="G10" s="149"/>
      <c r="H10">
        <v>47</v>
      </c>
      <c r="I10" s="1">
        <f t="shared" ref="I10:I14" si="0">+H10/33*28</f>
        <v>39.878787878787882</v>
      </c>
      <c r="J10" s="1"/>
      <c r="K10" s="1"/>
      <c r="L10" s="1">
        <v>50</v>
      </c>
      <c r="M10" s="1">
        <f t="shared" ref="M10:M14" si="1">+I10+J10+K10+L10</f>
        <v>89.878787878787875</v>
      </c>
      <c r="N10" s="1"/>
    </row>
    <row r="11" spans="2:14" x14ac:dyDescent="0.25">
      <c r="B11" s="6" t="s">
        <v>14</v>
      </c>
      <c r="C11" s="147" t="s">
        <v>22</v>
      </c>
      <c r="D11" s="148"/>
      <c r="E11" s="148"/>
      <c r="F11" s="148"/>
      <c r="G11" s="149"/>
      <c r="H11">
        <v>108</v>
      </c>
      <c r="I11" s="1">
        <f t="shared" si="0"/>
        <v>91.63636363636364</v>
      </c>
      <c r="J11" s="1"/>
      <c r="K11" s="1"/>
      <c r="L11" s="1">
        <v>50</v>
      </c>
      <c r="M11" s="1">
        <f t="shared" si="1"/>
        <v>141.63636363636363</v>
      </c>
      <c r="N11" s="1"/>
    </row>
    <row r="12" spans="2:14" x14ac:dyDescent="0.25">
      <c r="B12" s="6" t="s">
        <v>15</v>
      </c>
      <c r="C12" s="147" t="s">
        <v>23</v>
      </c>
      <c r="D12" s="148"/>
      <c r="E12" s="148"/>
      <c r="F12" s="148"/>
      <c r="G12" s="149"/>
      <c r="H12">
        <v>66</v>
      </c>
      <c r="I12" s="1">
        <f t="shared" si="0"/>
        <v>56</v>
      </c>
      <c r="J12" s="1"/>
      <c r="K12" s="1"/>
      <c r="L12" s="1">
        <v>50</v>
      </c>
      <c r="M12" s="1">
        <f t="shared" si="1"/>
        <v>106</v>
      </c>
      <c r="N12" s="1"/>
    </row>
    <row r="13" spans="2:14" x14ac:dyDescent="0.25">
      <c r="B13" s="6" t="s">
        <v>16</v>
      </c>
      <c r="C13" s="147" t="s">
        <v>24</v>
      </c>
      <c r="D13" s="148"/>
      <c r="E13" s="148"/>
      <c r="F13" s="148"/>
      <c r="G13" s="149"/>
      <c r="H13">
        <v>66</v>
      </c>
      <c r="I13" s="1">
        <f t="shared" si="0"/>
        <v>56</v>
      </c>
      <c r="J13" s="1"/>
      <c r="K13" s="1"/>
      <c r="L13" s="1">
        <v>50</v>
      </c>
      <c r="M13" s="1">
        <f t="shared" si="1"/>
        <v>106</v>
      </c>
      <c r="N13" s="1"/>
    </row>
    <row r="14" spans="2:14" x14ac:dyDescent="0.25">
      <c r="B14" s="6" t="s">
        <v>17</v>
      </c>
      <c r="C14" s="147" t="s">
        <v>25</v>
      </c>
      <c r="D14" s="148"/>
      <c r="E14" s="148"/>
      <c r="F14" s="148"/>
      <c r="G14" s="149"/>
      <c r="H14">
        <v>84</v>
      </c>
      <c r="I14" s="1">
        <f t="shared" si="0"/>
        <v>71.272727272727266</v>
      </c>
      <c r="J14" s="1"/>
      <c r="K14" s="1"/>
      <c r="L14" s="1">
        <v>50</v>
      </c>
      <c r="M14" s="1">
        <f t="shared" si="1"/>
        <v>121.27272727272727</v>
      </c>
      <c r="N14" s="1"/>
    </row>
    <row r="15" spans="2:14" x14ac:dyDescent="0.25">
      <c r="B15" s="164"/>
      <c r="C15" s="151"/>
      <c r="D15" s="151"/>
      <c r="E15" s="151"/>
      <c r="F15" s="151"/>
      <c r="G15" s="152"/>
      <c r="H15" s="7">
        <f t="shared" ref="H15:M15" si="2">SUM(H10:H14)</f>
        <v>371</v>
      </c>
      <c r="I15" s="8">
        <f t="shared" si="2"/>
        <v>314.78787878787881</v>
      </c>
      <c r="J15" s="8">
        <f t="shared" si="2"/>
        <v>0</v>
      </c>
      <c r="K15" s="8">
        <f t="shared" si="2"/>
        <v>0</v>
      </c>
      <c r="L15" s="8">
        <f t="shared" si="2"/>
        <v>250</v>
      </c>
      <c r="M15" s="8">
        <f t="shared" si="2"/>
        <v>564.78787878787875</v>
      </c>
      <c r="N15" s="1"/>
    </row>
    <row r="16" spans="2:14" x14ac:dyDescent="0.25">
      <c r="B16" s="153"/>
      <c r="C16" s="154"/>
      <c r="D16" s="154"/>
      <c r="E16" s="154"/>
      <c r="F16" s="154"/>
      <c r="G16" s="155"/>
      <c r="M16" s="1"/>
      <c r="N16" s="1"/>
    </row>
    <row r="17" spans="2:14" x14ac:dyDescent="0.25">
      <c r="B17" s="158" t="s">
        <v>18</v>
      </c>
      <c r="C17" s="148"/>
      <c r="D17" s="148"/>
      <c r="E17" s="148"/>
      <c r="F17" s="148"/>
      <c r="G17" s="157"/>
      <c r="H17" s="144" t="s">
        <v>6</v>
      </c>
      <c r="I17" s="145"/>
      <c r="J17" s="146"/>
      <c r="K17" s="3">
        <v>295</v>
      </c>
      <c r="L17" s="3">
        <f>+K17/33</f>
        <v>8.9393939393939394</v>
      </c>
      <c r="M17" s="4">
        <f>+L17*28</f>
        <v>250.30303030303031</v>
      </c>
      <c r="N17" s="4">
        <v>1205</v>
      </c>
    </row>
    <row r="18" spans="2:14" x14ac:dyDescent="0.25">
      <c r="B18" s="156"/>
      <c r="C18" s="148"/>
      <c r="D18" s="148"/>
      <c r="E18" s="148"/>
      <c r="F18" s="148"/>
      <c r="G18" s="157"/>
      <c r="H18" s="5" t="s">
        <v>7</v>
      </c>
      <c r="I18" s="5" t="s">
        <v>8</v>
      </c>
      <c r="J18" s="5" t="s">
        <v>9</v>
      </c>
      <c r="K18" s="5" t="s">
        <v>10</v>
      </c>
      <c r="L18" s="5" t="s">
        <v>11</v>
      </c>
      <c r="M18" s="9" t="s">
        <v>12</v>
      </c>
      <c r="N18" s="1"/>
    </row>
    <row r="19" spans="2:14" ht="15.75" customHeight="1" x14ac:dyDescent="0.25">
      <c r="B19" s="6" t="s">
        <v>13</v>
      </c>
      <c r="C19" s="147" t="s">
        <v>26</v>
      </c>
      <c r="D19" s="148"/>
      <c r="E19" s="148"/>
      <c r="F19" s="148"/>
      <c r="G19" s="149"/>
      <c r="H19">
        <v>80</v>
      </c>
      <c r="I19" s="1">
        <f t="shared" ref="I19:I23" si="3">+H19/33*28</f>
        <v>67.878787878787875</v>
      </c>
      <c r="J19" s="1">
        <v>125</v>
      </c>
      <c r="K19" s="1"/>
      <c r="L19" s="1">
        <f>35+50</f>
        <v>85</v>
      </c>
      <c r="M19" s="1">
        <f t="shared" ref="M19:M23" si="4">+I19+J19+K19+L19</f>
        <v>277.87878787878788</v>
      </c>
      <c r="N19" s="1"/>
    </row>
    <row r="20" spans="2:14" ht="15.75" customHeight="1" x14ac:dyDescent="0.25">
      <c r="B20" s="6" t="s">
        <v>14</v>
      </c>
      <c r="C20" s="147" t="s">
        <v>27</v>
      </c>
      <c r="D20" s="148"/>
      <c r="E20" s="148"/>
      <c r="F20" s="148"/>
      <c r="G20" s="149"/>
      <c r="H20">
        <v>20</v>
      </c>
      <c r="I20" s="1">
        <f t="shared" si="3"/>
        <v>16.969696969696969</v>
      </c>
      <c r="J20" s="1">
        <v>125</v>
      </c>
      <c r="K20" s="1"/>
      <c r="L20" s="1">
        <f>35+35+50</f>
        <v>120</v>
      </c>
      <c r="M20" s="1">
        <f t="shared" si="4"/>
        <v>261.969696969697</v>
      </c>
      <c r="N20" s="1"/>
    </row>
    <row r="21" spans="2:14" ht="15.75" customHeight="1" x14ac:dyDescent="0.25">
      <c r="B21" s="6" t="s">
        <v>15</v>
      </c>
      <c r="C21" s="147" t="s">
        <v>28</v>
      </c>
      <c r="D21" s="148"/>
      <c r="E21" s="148"/>
      <c r="F21" s="148"/>
      <c r="G21" s="149"/>
      <c r="H21">
        <v>10</v>
      </c>
      <c r="I21" s="1">
        <f t="shared" si="3"/>
        <v>8.4848484848484844</v>
      </c>
      <c r="J21" s="1">
        <v>125</v>
      </c>
      <c r="K21" s="1"/>
      <c r="L21" s="1">
        <f>35+50+35</f>
        <v>120</v>
      </c>
      <c r="M21" s="1">
        <f t="shared" si="4"/>
        <v>253.4848484848485</v>
      </c>
      <c r="N21" s="1"/>
    </row>
    <row r="22" spans="2:14" ht="15.75" customHeight="1" x14ac:dyDescent="0.25">
      <c r="B22" s="6" t="s">
        <v>16</v>
      </c>
      <c r="C22" s="147" t="s">
        <v>28</v>
      </c>
      <c r="D22" s="148"/>
      <c r="E22" s="148"/>
      <c r="F22" s="148"/>
      <c r="G22" s="149"/>
      <c r="H22">
        <v>10</v>
      </c>
      <c r="I22" s="1">
        <f t="shared" si="3"/>
        <v>8.4848484848484844</v>
      </c>
      <c r="J22" s="1">
        <v>125</v>
      </c>
      <c r="K22" s="1"/>
      <c r="L22" s="1">
        <f>35+50+35</f>
        <v>120</v>
      </c>
      <c r="M22" s="1">
        <f t="shared" si="4"/>
        <v>253.4848484848485</v>
      </c>
      <c r="N22" s="1"/>
    </row>
    <row r="23" spans="2:14" ht="15.75" customHeight="1" x14ac:dyDescent="0.25">
      <c r="B23" s="6" t="s">
        <v>17</v>
      </c>
      <c r="C23" s="147" t="s">
        <v>171</v>
      </c>
      <c r="D23" s="148"/>
      <c r="E23" s="148"/>
      <c r="F23" s="148"/>
      <c r="G23" s="149"/>
      <c r="H23">
        <v>100</v>
      </c>
      <c r="I23" s="1">
        <f t="shared" si="3"/>
        <v>84.848484848484844</v>
      </c>
      <c r="J23" s="1"/>
      <c r="K23" s="1"/>
      <c r="L23" s="1">
        <f>50+35</f>
        <v>85</v>
      </c>
      <c r="M23" s="1">
        <f t="shared" si="4"/>
        <v>169.84848484848484</v>
      </c>
      <c r="N23" s="1"/>
    </row>
    <row r="24" spans="2:14" ht="15.75" customHeight="1" x14ac:dyDescent="0.25">
      <c r="B24" s="164"/>
      <c r="C24" s="151"/>
      <c r="D24" s="151"/>
      <c r="E24" s="151"/>
      <c r="F24" s="151"/>
      <c r="G24" s="152"/>
      <c r="H24" s="7">
        <f t="shared" ref="H24:M24" si="5">SUM(H19:H23)</f>
        <v>220</v>
      </c>
      <c r="I24" s="8">
        <f t="shared" si="5"/>
        <v>186.66666666666666</v>
      </c>
      <c r="J24" s="8">
        <f t="shared" si="5"/>
        <v>500</v>
      </c>
      <c r="K24" s="8">
        <f t="shared" si="5"/>
        <v>0</v>
      </c>
      <c r="L24" s="8">
        <f t="shared" si="5"/>
        <v>530</v>
      </c>
      <c r="M24" s="8">
        <f t="shared" si="5"/>
        <v>1216.6666666666667</v>
      </c>
      <c r="N24" s="1"/>
    </row>
    <row r="25" spans="2:14" ht="15.75" customHeight="1" x14ac:dyDescent="0.25">
      <c r="B25" s="153"/>
      <c r="C25" s="154"/>
      <c r="D25" s="154"/>
      <c r="E25" s="154"/>
      <c r="F25" s="154"/>
      <c r="G25" s="155"/>
      <c r="M25" s="1"/>
      <c r="N25" s="1"/>
    </row>
    <row r="26" spans="2:14" ht="15.75" customHeight="1" x14ac:dyDescent="0.25">
      <c r="B26" s="171" t="s">
        <v>29</v>
      </c>
      <c r="C26" s="172"/>
      <c r="D26" s="172"/>
      <c r="E26" s="172"/>
      <c r="F26" s="172"/>
      <c r="G26" s="173"/>
      <c r="H26" s="144" t="s">
        <v>6</v>
      </c>
      <c r="I26" s="145"/>
      <c r="J26" s="146"/>
      <c r="K26" s="3">
        <v>620</v>
      </c>
      <c r="L26" s="3">
        <f>+K26/33</f>
        <v>18.787878787878789</v>
      </c>
      <c r="M26" s="4">
        <f>+L26*28</f>
        <v>526.06060606060612</v>
      </c>
      <c r="N26" s="86">
        <v>1420</v>
      </c>
    </row>
    <row r="27" spans="2:14" ht="15.75" customHeight="1" x14ac:dyDescent="0.25">
      <c r="B27" s="156"/>
      <c r="C27" s="148"/>
      <c r="D27" s="148"/>
      <c r="E27" s="148"/>
      <c r="F27" s="148"/>
      <c r="G27" s="157"/>
      <c r="H27" s="5" t="s">
        <v>7</v>
      </c>
      <c r="I27" s="5" t="s">
        <v>8</v>
      </c>
      <c r="J27" s="5" t="s">
        <v>9</v>
      </c>
      <c r="K27" s="5" t="s">
        <v>10</v>
      </c>
      <c r="L27" s="5" t="s">
        <v>11</v>
      </c>
      <c r="M27" s="9" t="s">
        <v>12</v>
      </c>
      <c r="N27" s="1"/>
    </row>
    <row r="28" spans="2:14" ht="15.75" customHeight="1" x14ac:dyDescent="0.25">
      <c r="B28" s="10" t="s">
        <v>13</v>
      </c>
      <c r="C28" s="167" t="s">
        <v>30</v>
      </c>
      <c r="D28" s="168"/>
      <c r="E28" s="168"/>
      <c r="F28" s="168"/>
      <c r="G28" s="169"/>
      <c r="H28">
        <v>100</v>
      </c>
      <c r="I28" s="1">
        <f>+H28/33*28</f>
        <v>84.848484848484844</v>
      </c>
      <c r="J28" s="1">
        <v>125</v>
      </c>
      <c r="K28" s="1"/>
      <c r="L28" s="1">
        <f>35+50</f>
        <v>85</v>
      </c>
      <c r="M28" s="1">
        <f>+I28+J28+K28+L28</f>
        <v>294.84848484848487</v>
      </c>
      <c r="N28" s="1"/>
    </row>
    <row r="29" spans="2:14" ht="15.75" customHeight="1" x14ac:dyDescent="0.25">
      <c r="B29" s="11"/>
      <c r="C29" s="162" t="s">
        <v>31</v>
      </c>
      <c r="D29" s="165"/>
      <c r="E29" s="165"/>
      <c r="F29" s="165"/>
      <c r="G29" s="166"/>
      <c r="M29" s="1"/>
      <c r="N29" s="1"/>
    </row>
    <row r="30" spans="2:14" ht="15.75" customHeight="1" x14ac:dyDescent="0.25">
      <c r="B30" s="11" t="s">
        <v>14</v>
      </c>
      <c r="C30" s="162" t="s">
        <v>32</v>
      </c>
      <c r="D30" s="163"/>
      <c r="E30" s="163"/>
      <c r="F30" s="163"/>
      <c r="G30" s="143"/>
      <c r="H30">
        <v>120</v>
      </c>
      <c r="I30" s="1">
        <f t="shared" ref="I30:I33" si="6">+H30/33*28</f>
        <v>101.81818181818181</v>
      </c>
      <c r="J30" s="1">
        <v>125</v>
      </c>
      <c r="K30" s="1"/>
      <c r="L30" s="1">
        <f>35+50+35</f>
        <v>120</v>
      </c>
      <c r="M30" s="1">
        <f t="shared" ref="M30:M33" si="7">+I30+J30+K30+L30</f>
        <v>346.81818181818181</v>
      </c>
      <c r="N30" s="1"/>
    </row>
    <row r="31" spans="2:14" ht="15.75" customHeight="1" x14ac:dyDescent="0.25">
      <c r="B31" s="6" t="s">
        <v>15</v>
      </c>
      <c r="C31" s="147" t="s">
        <v>33</v>
      </c>
      <c r="D31" s="148"/>
      <c r="E31" s="148"/>
      <c r="F31" s="148"/>
      <c r="G31" s="149"/>
      <c r="H31">
        <v>80</v>
      </c>
      <c r="I31" s="1">
        <f t="shared" si="6"/>
        <v>67.878787878787875</v>
      </c>
      <c r="J31" s="1">
        <v>125</v>
      </c>
      <c r="K31" s="1"/>
      <c r="L31" s="1">
        <f t="shared" ref="L31:L32" si="8">35+50+35</f>
        <v>120</v>
      </c>
      <c r="M31" s="1">
        <f t="shared" si="7"/>
        <v>312.87878787878788</v>
      </c>
      <c r="N31" s="1"/>
    </row>
    <row r="32" spans="2:14" ht="15.75" customHeight="1" x14ac:dyDescent="0.25">
      <c r="B32" s="6" t="s">
        <v>16</v>
      </c>
      <c r="C32" s="147" t="s">
        <v>62</v>
      </c>
      <c r="D32" s="148"/>
      <c r="E32" s="148"/>
      <c r="F32" s="148"/>
      <c r="G32" s="149"/>
      <c r="H32">
        <v>35</v>
      </c>
      <c r="I32" s="1">
        <f t="shared" si="6"/>
        <v>29.696969696969695</v>
      </c>
      <c r="J32" s="1">
        <v>125</v>
      </c>
      <c r="K32" s="1"/>
      <c r="L32" s="1">
        <f t="shared" si="8"/>
        <v>120</v>
      </c>
      <c r="M32" s="1">
        <f t="shared" si="7"/>
        <v>274.69696969696969</v>
      </c>
      <c r="N32" s="1"/>
    </row>
    <row r="33" spans="2:14" ht="15.75" customHeight="1" x14ac:dyDescent="0.25">
      <c r="B33" s="6" t="s">
        <v>17</v>
      </c>
      <c r="C33" s="161" t="s">
        <v>34</v>
      </c>
      <c r="D33" s="148"/>
      <c r="E33" s="148"/>
      <c r="F33" s="148"/>
      <c r="G33" s="149"/>
      <c r="H33">
        <v>181</v>
      </c>
      <c r="I33" s="1">
        <f t="shared" si="6"/>
        <v>153.57575757575756</v>
      </c>
      <c r="J33" s="1"/>
      <c r="K33" s="1"/>
      <c r="L33" s="1">
        <f>35+50</f>
        <v>85</v>
      </c>
      <c r="M33" s="1">
        <f t="shared" si="7"/>
        <v>238.57575757575756</v>
      </c>
      <c r="N33" s="1"/>
    </row>
    <row r="34" spans="2:14" ht="15.75" customHeight="1" x14ac:dyDescent="0.25">
      <c r="B34" s="159"/>
      <c r="C34" s="151"/>
      <c r="D34" s="151"/>
      <c r="E34" s="151"/>
      <c r="F34" s="151"/>
      <c r="G34" s="152"/>
      <c r="H34" s="7">
        <f>SUM(H28:H33)</f>
        <v>516</v>
      </c>
      <c r="I34" s="8">
        <f>SUM(I28:I33)</f>
        <v>437.81818181818181</v>
      </c>
      <c r="J34" s="8">
        <f>SUM(J28:J33)</f>
        <v>500</v>
      </c>
      <c r="K34" s="8">
        <f t="shared" ref="K34" si="9">SUM(K28:K33)</f>
        <v>0</v>
      </c>
      <c r="L34" s="8">
        <f>SUM(L28:L33)</f>
        <v>530</v>
      </c>
      <c r="M34" s="8">
        <f>SUM(M28:M33)</f>
        <v>1467.8181818181818</v>
      </c>
      <c r="N34" s="1"/>
    </row>
    <row r="35" spans="2:14" ht="15.75" customHeight="1" x14ac:dyDescent="0.25">
      <c r="B35" s="153"/>
      <c r="C35" s="154"/>
      <c r="D35" s="154"/>
      <c r="E35" s="154"/>
      <c r="F35" s="154"/>
      <c r="G35" s="155"/>
      <c r="M35" s="1"/>
      <c r="N35" s="1"/>
    </row>
    <row r="36" spans="2:14" ht="15.75" customHeight="1" x14ac:dyDescent="0.25">
      <c r="B36" s="160"/>
      <c r="C36" s="148"/>
      <c r="D36" s="148"/>
      <c r="E36" s="148"/>
      <c r="F36" s="148"/>
      <c r="G36" s="149"/>
      <c r="M36" s="1"/>
      <c r="N36" s="1"/>
    </row>
    <row r="37" spans="2:14" ht="15.75" customHeight="1" x14ac:dyDescent="0.25">
      <c r="M37" s="1"/>
      <c r="N37" s="1"/>
    </row>
    <row r="38" spans="2:14" ht="15.75" customHeight="1" x14ac:dyDescent="0.25">
      <c r="B38" s="88" t="s">
        <v>165</v>
      </c>
      <c r="C38" s="88" t="s">
        <v>166</v>
      </c>
      <c r="D38" s="37"/>
      <c r="M38" s="1"/>
      <c r="N38" s="1"/>
    </row>
    <row r="39" spans="2:14" ht="15.75" customHeight="1" x14ac:dyDescent="0.25">
      <c r="C39" s="3" t="s">
        <v>167</v>
      </c>
      <c r="M39" s="1"/>
      <c r="N39" s="1"/>
    </row>
    <row r="40" spans="2:14" ht="15.75" customHeight="1" x14ac:dyDescent="0.25">
      <c r="C40" s="3" t="s">
        <v>168</v>
      </c>
      <c r="M40" s="1"/>
      <c r="N40" s="1"/>
    </row>
    <row r="41" spans="2:14" ht="15.75" customHeight="1" x14ac:dyDescent="0.25">
      <c r="C41" s="3" t="s">
        <v>169</v>
      </c>
      <c r="M41" s="1"/>
      <c r="N41" s="1"/>
    </row>
    <row r="42" spans="2:14" ht="15.75" customHeight="1" x14ac:dyDescent="0.25">
      <c r="M42" s="1"/>
      <c r="N42" s="1"/>
    </row>
    <row r="43" spans="2:14" ht="15.75" customHeight="1" x14ac:dyDescent="0.25">
      <c r="M43" s="1"/>
      <c r="N43" s="1"/>
    </row>
    <row r="44" spans="2:14" ht="15.75" customHeight="1" x14ac:dyDescent="0.25">
      <c r="M44" s="1"/>
      <c r="N44" s="1"/>
    </row>
    <row r="45" spans="2:14" ht="15.75" customHeight="1" x14ac:dyDescent="0.25">
      <c r="M45" s="1"/>
      <c r="N45" s="1"/>
    </row>
    <row r="46" spans="2:14" ht="15.75" customHeight="1" x14ac:dyDescent="0.25">
      <c r="M46" s="1"/>
      <c r="N46" s="1"/>
    </row>
    <row r="47" spans="2:14" ht="15.75" customHeight="1" x14ac:dyDescent="0.25">
      <c r="M47" s="1"/>
      <c r="N47" s="1"/>
    </row>
    <row r="48" spans="2:14" ht="15.75" customHeight="1" x14ac:dyDescent="0.25">
      <c r="M48" s="1"/>
      <c r="N48" s="1"/>
    </row>
    <row r="49" spans="13:14" ht="15.75" customHeight="1" x14ac:dyDescent="0.25">
      <c r="M49" s="1"/>
      <c r="N49" s="1"/>
    </row>
    <row r="50" spans="13:14" ht="15.75" customHeight="1" x14ac:dyDescent="0.25">
      <c r="M50" s="1"/>
      <c r="N50" s="1"/>
    </row>
    <row r="51" spans="13:14" ht="15.75" customHeight="1" x14ac:dyDescent="0.25">
      <c r="M51" s="1"/>
      <c r="N51" s="1"/>
    </row>
    <row r="52" spans="13:14" ht="15.75" customHeight="1" x14ac:dyDescent="0.25">
      <c r="M52" s="1"/>
      <c r="N52" s="1"/>
    </row>
    <row r="53" spans="13:14" ht="15.75" customHeight="1" x14ac:dyDescent="0.25">
      <c r="M53" s="1"/>
      <c r="N53" s="1"/>
    </row>
    <row r="54" spans="13:14" ht="15.75" customHeight="1" x14ac:dyDescent="0.25">
      <c r="M54" s="1"/>
      <c r="N54" s="1"/>
    </row>
    <row r="55" spans="13:14" ht="15.75" customHeight="1" x14ac:dyDescent="0.25">
      <c r="M55" s="1"/>
      <c r="N55" s="1"/>
    </row>
    <row r="56" spans="13:14" ht="15.75" customHeight="1" x14ac:dyDescent="0.25">
      <c r="M56" s="1"/>
      <c r="N56" s="1"/>
    </row>
    <row r="57" spans="13:14" ht="15.75" customHeight="1" x14ac:dyDescent="0.25">
      <c r="M57" s="1"/>
      <c r="N57" s="1"/>
    </row>
    <row r="58" spans="13:14" ht="15.75" customHeight="1" x14ac:dyDescent="0.25">
      <c r="M58" s="1"/>
      <c r="N58" s="1"/>
    </row>
    <row r="59" spans="13:14" ht="15.75" customHeight="1" x14ac:dyDescent="0.25">
      <c r="M59" s="1"/>
      <c r="N59" s="1"/>
    </row>
    <row r="60" spans="13:14" ht="15.75" customHeight="1" x14ac:dyDescent="0.25">
      <c r="M60" s="1"/>
      <c r="N60" s="1"/>
    </row>
    <row r="61" spans="13:14" ht="15.75" customHeight="1" x14ac:dyDescent="0.25">
      <c r="M61" s="1"/>
      <c r="N61" s="1"/>
    </row>
    <row r="62" spans="13:14" ht="15.75" customHeight="1" x14ac:dyDescent="0.25">
      <c r="M62" s="1"/>
      <c r="N62" s="1"/>
    </row>
    <row r="63" spans="13:14" ht="15.75" customHeight="1" x14ac:dyDescent="0.25">
      <c r="M63" s="1"/>
      <c r="N63" s="1"/>
    </row>
  </sheetData>
  <mergeCells count="34">
    <mergeCell ref="B2:G2"/>
    <mergeCell ref="C3:G3"/>
    <mergeCell ref="C4:G4"/>
    <mergeCell ref="B27:G27"/>
    <mergeCell ref="B26:G26"/>
    <mergeCell ref="C30:G30"/>
    <mergeCell ref="C19:G19"/>
    <mergeCell ref="C20:G20"/>
    <mergeCell ref="C5:G5"/>
    <mergeCell ref="B15:G16"/>
    <mergeCell ref="B8:G8"/>
    <mergeCell ref="B24:G25"/>
    <mergeCell ref="C29:G29"/>
    <mergeCell ref="C28:G28"/>
    <mergeCell ref="B34:G35"/>
    <mergeCell ref="B36:G36"/>
    <mergeCell ref="C31:G31"/>
    <mergeCell ref="C32:G32"/>
    <mergeCell ref="C33:G33"/>
    <mergeCell ref="H17:J17"/>
    <mergeCell ref="C21:G21"/>
    <mergeCell ref="C22:G22"/>
    <mergeCell ref="H26:J26"/>
    <mergeCell ref="B6:G7"/>
    <mergeCell ref="C10:G10"/>
    <mergeCell ref="H8:J8"/>
    <mergeCell ref="B9:G9"/>
    <mergeCell ref="C11:G11"/>
    <mergeCell ref="C12:G12"/>
    <mergeCell ref="C13:G13"/>
    <mergeCell ref="C14:G14"/>
    <mergeCell ref="C23:G23"/>
    <mergeCell ref="B18:G18"/>
    <mergeCell ref="B17:G17"/>
  </mergeCells>
  <pageMargins left="0.23622047244094491" right="0.23622047244094491" top="0.74803149606299213" bottom="0.74803149606299213" header="0" footer="0"/>
  <pageSetup scale="75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96"/>
  <sheetViews>
    <sheetView tabSelected="1" topLeftCell="A21" zoomScaleNormal="100" workbookViewId="0">
      <selection activeCell="J28" sqref="J28"/>
    </sheetView>
  </sheetViews>
  <sheetFormatPr baseColWidth="10" defaultColWidth="14.42578125" defaultRowHeight="15" customHeight="1" x14ac:dyDescent="0.25"/>
  <cols>
    <col min="1" max="1" width="6.7109375" customWidth="1"/>
    <col min="2" max="2" width="15" customWidth="1"/>
    <col min="3" max="6" width="11.42578125" customWidth="1"/>
    <col min="7" max="7" width="19.85546875" customWidth="1"/>
    <col min="8" max="8" width="11.42578125" customWidth="1"/>
    <col min="9" max="9" width="14.7109375" customWidth="1"/>
    <col min="10" max="10" width="11.42578125" customWidth="1"/>
    <col min="11" max="11" width="8.42578125" customWidth="1"/>
    <col min="12" max="12" width="11.28515625" customWidth="1"/>
    <col min="13" max="13" width="12" customWidth="1"/>
    <col min="14" max="14" width="12.85546875" customWidth="1"/>
    <col min="15" max="20" width="11.42578125" customWidth="1"/>
  </cols>
  <sheetData>
    <row r="1" spans="1:20" ht="33.75" x14ac:dyDescent="0.5">
      <c r="B1" s="170" t="s">
        <v>0</v>
      </c>
      <c r="C1" s="148"/>
      <c r="D1" s="148"/>
      <c r="E1" s="148"/>
      <c r="F1" s="148"/>
      <c r="G1" s="149"/>
      <c r="H1" t="s">
        <v>36</v>
      </c>
      <c r="N1" s="1"/>
    </row>
    <row r="2" spans="1:20" x14ac:dyDescent="0.25">
      <c r="B2" s="2" t="s">
        <v>1</v>
      </c>
      <c r="C2" s="147" t="s">
        <v>163</v>
      </c>
      <c r="D2" s="148"/>
      <c r="E2" s="148"/>
      <c r="F2" s="148"/>
      <c r="G2" s="149"/>
      <c r="M2" s="1"/>
      <c r="N2" s="1"/>
    </row>
    <row r="3" spans="1:20" x14ac:dyDescent="0.25">
      <c r="B3" s="2" t="s">
        <v>2</v>
      </c>
      <c r="C3" s="147" t="s">
        <v>37</v>
      </c>
      <c r="D3" s="148"/>
      <c r="E3" s="148"/>
      <c r="F3" s="148"/>
      <c r="G3" s="149"/>
      <c r="M3" s="1"/>
      <c r="N3" s="1"/>
    </row>
    <row r="4" spans="1:20" x14ac:dyDescent="0.25">
      <c r="B4" s="2" t="s">
        <v>4</v>
      </c>
      <c r="C4" s="147" t="s">
        <v>97</v>
      </c>
      <c r="D4" s="148"/>
      <c r="E4" s="148"/>
      <c r="F4" s="148"/>
      <c r="G4" s="149"/>
      <c r="H4" t="s">
        <v>173</v>
      </c>
      <c r="I4" t="s">
        <v>172</v>
      </c>
      <c r="M4" s="1"/>
      <c r="N4" s="1"/>
    </row>
    <row r="5" spans="1:20" x14ac:dyDescent="0.25">
      <c r="B5" s="150"/>
      <c r="C5" s="151"/>
      <c r="D5" s="151"/>
      <c r="E5" s="151"/>
      <c r="F5" s="151"/>
      <c r="G5" s="152"/>
      <c r="M5" s="1"/>
      <c r="N5" s="1"/>
    </row>
    <row r="6" spans="1:20" ht="9" customHeight="1" x14ac:dyDescent="0.25">
      <c r="B6" s="153"/>
      <c r="C6" s="154"/>
      <c r="D6" s="154"/>
      <c r="E6" s="154"/>
      <c r="F6" s="154"/>
      <c r="G6" s="155"/>
      <c r="M6" s="1"/>
      <c r="N6" s="1"/>
    </row>
    <row r="7" spans="1:20" x14ac:dyDescent="0.25">
      <c r="B7" s="158" t="s">
        <v>5</v>
      </c>
      <c r="C7" s="148"/>
      <c r="D7" s="148"/>
      <c r="E7" s="148"/>
      <c r="F7" s="148"/>
      <c r="G7" s="149"/>
      <c r="H7" t="s">
        <v>6</v>
      </c>
      <c r="K7" s="34">
        <f>+H14</f>
        <v>259.3</v>
      </c>
      <c r="L7">
        <f>+K7/33</f>
        <v>7.8575757575757583</v>
      </c>
      <c r="M7" s="1">
        <f>+L7*28</f>
        <v>220.01212121212123</v>
      </c>
      <c r="N7" s="1"/>
    </row>
    <row r="8" spans="1:20" ht="15.75" thickBot="1" x14ac:dyDescent="0.3">
      <c r="B8" s="156"/>
      <c r="C8" s="148"/>
      <c r="D8" s="148"/>
      <c r="E8" s="148"/>
      <c r="F8" s="148"/>
      <c r="G8" s="157"/>
      <c r="H8" s="5" t="s">
        <v>7</v>
      </c>
      <c r="I8" s="5" t="s">
        <v>8</v>
      </c>
      <c r="J8" s="5" t="s">
        <v>9</v>
      </c>
      <c r="K8" s="5" t="s">
        <v>38</v>
      </c>
      <c r="L8" s="5" t="s">
        <v>11</v>
      </c>
      <c r="M8" s="5" t="s">
        <v>12</v>
      </c>
      <c r="N8" s="36">
        <v>1230</v>
      </c>
      <c r="O8" s="1"/>
    </row>
    <row r="9" spans="1:20" ht="31.5" customHeight="1" x14ac:dyDescent="0.25">
      <c r="B9" s="6" t="s">
        <v>13</v>
      </c>
      <c r="C9" s="147" t="s">
        <v>66</v>
      </c>
      <c r="D9" s="148"/>
      <c r="E9" s="148"/>
      <c r="F9" s="148"/>
      <c r="G9" s="149"/>
      <c r="H9" s="12">
        <v>70</v>
      </c>
      <c r="I9" s="1">
        <f>+H9/33*28</f>
        <v>59.393939393939391</v>
      </c>
      <c r="J9" s="1">
        <v>125</v>
      </c>
      <c r="K9" s="1"/>
      <c r="L9" s="1">
        <f>35+50</f>
        <v>85</v>
      </c>
      <c r="M9" s="1">
        <f>+I9+J9+K9+L9</f>
        <v>269.39393939393938</v>
      </c>
      <c r="N9" s="1"/>
      <c r="O9" s="35"/>
      <c r="T9" s="13"/>
    </row>
    <row r="10" spans="1:20" x14ac:dyDescent="0.25">
      <c r="B10" s="6" t="s">
        <v>14</v>
      </c>
      <c r="C10" s="175" t="s">
        <v>65</v>
      </c>
      <c r="D10" s="176"/>
      <c r="E10" s="176"/>
      <c r="F10" s="176"/>
      <c r="G10" s="177"/>
      <c r="H10">
        <v>35</v>
      </c>
      <c r="I10" s="1">
        <f t="shared" ref="I10:I13" si="0">+H10/33*28</f>
        <v>29.696969696969695</v>
      </c>
      <c r="J10" s="1">
        <v>125</v>
      </c>
      <c r="K10" s="1"/>
      <c r="L10" s="1">
        <f>35+50+35</f>
        <v>120</v>
      </c>
      <c r="M10" s="1">
        <f>+I10+J10+K10+L10</f>
        <v>274.69696969696969</v>
      </c>
      <c r="N10" s="1"/>
    </row>
    <row r="11" spans="1:20" ht="33.950000000000003" customHeight="1" x14ac:dyDescent="0.25">
      <c r="B11" s="6" t="s">
        <v>15</v>
      </c>
      <c r="C11" s="175" t="s">
        <v>68</v>
      </c>
      <c r="D11" s="176"/>
      <c r="E11" s="176"/>
      <c r="F11" s="176"/>
      <c r="G11" s="177"/>
      <c r="H11">
        <v>76</v>
      </c>
      <c r="I11" s="1">
        <f t="shared" ref="I11" si="1">+H11/33*28</f>
        <v>64.484848484848484</v>
      </c>
      <c r="J11" s="1">
        <v>125</v>
      </c>
      <c r="K11" s="1"/>
      <c r="L11" s="1">
        <f t="shared" ref="L11:L12" si="2">35+50+35</f>
        <v>120</v>
      </c>
      <c r="M11" s="1">
        <f>+I11+J11+K11+L11</f>
        <v>309.4848484848485</v>
      </c>
      <c r="N11" s="1"/>
    </row>
    <row r="12" spans="1:20" x14ac:dyDescent="0.25">
      <c r="B12" s="6" t="s">
        <v>16</v>
      </c>
      <c r="C12" s="147" t="s">
        <v>67</v>
      </c>
      <c r="D12" s="148"/>
      <c r="E12" s="148"/>
      <c r="F12" s="148"/>
      <c r="G12" s="149"/>
      <c r="H12">
        <v>20</v>
      </c>
      <c r="I12" s="1">
        <f t="shared" si="0"/>
        <v>16.969696969696969</v>
      </c>
      <c r="J12" s="1">
        <v>125</v>
      </c>
      <c r="K12" s="1"/>
      <c r="L12" s="1">
        <f t="shared" si="2"/>
        <v>120</v>
      </c>
      <c r="M12" s="1">
        <f>+I12+J12+K12+L12</f>
        <v>261.969696969697</v>
      </c>
      <c r="N12" s="1"/>
      <c r="T12" s="13"/>
    </row>
    <row r="13" spans="1:20" x14ac:dyDescent="0.25">
      <c r="B13" s="6" t="s">
        <v>17</v>
      </c>
      <c r="C13" s="147" t="s">
        <v>39</v>
      </c>
      <c r="D13" s="148"/>
      <c r="E13" s="148"/>
      <c r="F13" s="148"/>
      <c r="G13" s="149"/>
      <c r="H13" s="33">
        <v>58.3</v>
      </c>
      <c r="I13" s="1">
        <f t="shared" si="0"/>
        <v>49.466666666666669</v>
      </c>
      <c r="J13" s="1"/>
      <c r="K13" s="1"/>
      <c r="L13" s="1">
        <f>35+50</f>
        <v>85</v>
      </c>
      <c r="M13" s="1">
        <f>+I13+J13+K13+L13</f>
        <v>134.46666666666667</v>
      </c>
      <c r="N13" s="1"/>
    </row>
    <row r="14" spans="1:20" x14ac:dyDescent="0.25">
      <c r="B14" s="164"/>
      <c r="C14" s="151"/>
      <c r="D14" s="151"/>
      <c r="E14" s="151"/>
      <c r="F14" s="151"/>
      <c r="G14" s="152"/>
      <c r="H14" s="7">
        <f t="shared" ref="H14:M14" si="3">SUM(H9:H13)</f>
        <v>259.3</v>
      </c>
      <c r="I14" s="8">
        <f t="shared" si="3"/>
        <v>220.0121212121212</v>
      </c>
      <c r="J14" s="8">
        <f t="shared" si="3"/>
        <v>500</v>
      </c>
      <c r="K14" s="8">
        <f t="shared" si="3"/>
        <v>0</v>
      </c>
      <c r="L14" s="8">
        <f t="shared" si="3"/>
        <v>530</v>
      </c>
      <c r="M14" s="8">
        <f t="shared" si="3"/>
        <v>1250.0121212121212</v>
      </c>
      <c r="N14" s="1"/>
    </row>
    <row r="15" spans="1:20" x14ac:dyDescent="0.25">
      <c r="A15" s="33"/>
      <c r="B15" s="136"/>
      <c r="C15" s="137"/>
      <c r="D15" s="137"/>
      <c r="E15" s="137"/>
      <c r="F15" s="137"/>
      <c r="G15" s="138"/>
      <c r="H15" s="33"/>
      <c r="I15" s="33"/>
      <c r="M15" s="1"/>
      <c r="N15" s="1"/>
    </row>
    <row r="16" spans="1:20" ht="15.75" thickBot="1" x14ac:dyDescent="0.3">
      <c r="A16" s="33"/>
      <c r="B16" s="174" t="s">
        <v>18</v>
      </c>
      <c r="C16" s="148"/>
      <c r="D16" s="148"/>
      <c r="E16" s="148"/>
      <c r="F16" s="148"/>
      <c r="G16" s="149"/>
      <c r="H16" t="s">
        <v>6</v>
      </c>
      <c r="K16" s="34">
        <f>+H23</f>
        <v>363.2</v>
      </c>
      <c r="L16">
        <f>+K16/33</f>
        <v>11.006060606060606</v>
      </c>
      <c r="M16" s="1">
        <f>+L16*28</f>
        <v>308.16969696969699</v>
      </c>
      <c r="N16" s="1"/>
    </row>
    <row r="17" spans="1:15" ht="15.75" thickBot="1" x14ac:dyDescent="0.3">
      <c r="A17" s="33"/>
      <c r="B17" s="156"/>
      <c r="C17" s="148"/>
      <c r="D17" s="148"/>
      <c r="E17" s="148"/>
      <c r="F17" s="148"/>
      <c r="G17" s="157"/>
      <c r="H17" s="5" t="s">
        <v>7</v>
      </c>
      <c r="I17" s="5" t="s">
        <v>8</v>
      </c>
      <c r="J17" s="5" t="s">
        <v>9</v>
      </c>
      <c r="K17" s="5" t="s">
        <v>38</v>
      </c>
      <c r="L17" s="5" t="s">
        <v>11</v>
      </c>
      <c r="M17" s="5" t="s">
        <v>12</v>
      </c>
      <c r="N17" s="1">
        <v>1330</v>
      </c>
    </row>
    <row r="18" spans="1:15" x14ac:dyDescent="0.25">
      <c r="A18" s="33"/>
      <c r="B18" s="6" t="s">
        <v>13</v>
      </c>
      <c r="C18" s="147" t="s">
        <v>69</v>
      </c>
      <c r="D18" s="148"/>
      <c r="E18" s="148"/>
      <c r="F18" s="148"/>
      <c r="G18" s="149"/>
      <c r="H18" s="12">
        <v>190</v>
      </c>
      <c r="I18" s="1">
        <f>+H18/33*28</f>
        <v>161.21212121212122</v>
      </c>
      <c r="J18" s="1">
        <v>125</v>
      </c>
      <c r="K18" s="1"/>
      <c r="L18" s="1">
        <f>35+50</f>
        <v>85</v>
      </c>
      <c r="M18" s="1">
        <f>+I18+J18+K18+L18</f>
        <v>371.21212121212125</v>
      </c>
      <c r="N18" s="1"/>
    </row>
    <row r="19" spans="1:15" x14ac:dyDescent="0.25">
      <c r="A19" s="33"/>
      <c r="B19" s="6" t="s">
        <v>14</v>
      </c>
      <c r="C19" s="147" t="s">
        <v>70</v>
      </c>
      <c r="D19" s="148"/>
      <c r="E19" s="148"/>
      <c r="F19" s="148"/>
      <c r="G19" s="149"/>
      <c r="H19">
        <v>2</v>
      </c>
      <c r="I19" s="1">
        <f t="shared" ref="I19:I22" si="4">+H19/33*28</f>
        <v>1.696969696969697</v>
      </c>
      <c r="J19" s="1">
        <v>125</v>
      </c>
      <c r="K19" s="1"/>
      <c r="L19" s="1">
        <f>35+50+35</f>
        <v>120</v>
      </c>
      <c r="M19" s="1">
        <f>+I19+J19+K19+L19</f>
        <v>246.69696969696969</v>
      </c>
      <c r="N19" s="1"/>
    </row>
    <row r="20" spans="1:15" x14ac:dyDescent="0.25">
      <c r="A20" s="33"/>
      <c r="B20" s="6" t="s">
        <v>15</v>
      </c>
      <c r="C20" s="147" t="s">
        <v>70</v>
      </c>
      <c r="D20" s="148"/>
      <c r="E20" s="148"/>
      <c r="F20" s="148"/>
      <c r="G20" s="149"/>
      <c r="H20">
        <v>2</v>
      </c>
      <c r="I20" s="1">
        <f t="shared" si="4"/>
        <v>1.696969696969697</v>
      </c>
      <c r="J20" s="1">
        <v>125</v>
      </c>
      <c r="K20" s="1"/>
      <c r="L20" s="1">
        <f t="shared" ref="L20:L21" si="5">35+50+35</f>
        <v>120</v>
      </c>
      <c r="M20" s="1">
        <f>+I20+J20+K20+L20</f>
        <v>246.69696969696969</v>
      </c>
      <c r="N20" s="1"/>
    </row>
    <row r="21" spans="1:15" x14ac:dyDescent="0.25">
      <c r="A21" s="33"/>
      <c r="B21" s="6" t="s">
        <v>16</v>
      </c>
      <c r="C21" s="147" t="s">
        <v>71</v>
      </c>
      <c r="D21" s="148"/>
      <c r="E21" s="148"/>
      <c r="F21" s="148"/>
      <c r="G21" s="149"/>
      <c r="H21" s="33">
        <v>74</v>
      </c>
      <c r="I21" s="1">
        <f t="shared" si="4"/>
        <v>62.787878787878782</v>
      </c>
      <c r="J21" s="1">
        <v>125</v>
      </c>
      <c r="K21" s="1"/>
      <c r="L21" s="1">
        <f t="shared" si="5"/>
        <v>120</v>
      </c>
      <c r="M21" s="1">
        <f>+I21+J21+K21+L21</f>
        <v>307.78787878787875</v>
      </c>
      <c r="N21" s="1"/>
    </row>
    <row r="22" spans="1:15" x14ac:dyDescent="0.25">
      <c r="A22" s="33"/>
      <c r="B22" s="6" t="s">
        <v>17</v>
      </c>
      <c r="C22" s="147" t="s">
        <v>174</v>
      </c>
      <c r="D22" s="148"/>
      <c r="E22" s="148"/>
      <c r="F22" s="148"/>
      <c r="G22" s="149"/>
      <c r="H22" s="33">
        <v>95.2</v>
      </c>
      <c r="I22" s="1">
        <f t="shared" si="4"/>
        <v>80.775757575757581</v>
      </c>
      <c r="J22" s="1"/>
      <c r="K22" s="1"/>
      <c r="L22" s="1">
        <f>50+35</f>
        <v>85</v>
      </c>
      <c r="M22" s="1">
        <f>+I22+J22+K22+L22</f>
        <v>165.77575757575758</v>
      </c>
      <c r="N22" s="1"/>
    </row>
    <row r="23" spans="1:15" x14ac:dyDescent="0.25">
      <c r="A23" s="33"/>
      <c r="B23" s="37"/>
      <c r="C23" s="37"/>
      <c r="D23" s="37"/>
      <c r="E23" s="37"/>
      <c r="F23" s="37"/>
      <c r="G23" s="37"/>
      <c r="H23" s="7">
        <f>SUM(H18:H22)</f>
        <v>363.2</v>
      </c>
      <c r="I23" s="8">
        <f>SUM(I18:I22)</f>
        <v>308.16969696969693</v>
      </c>
      <c r="J23" s="8">
        <f>SUM(J18:J22)</f>
        <v>500</v>
      </c>
      <c r="K23" s="8">
        <f t="shared" ref="K23" si="6">SUM(K18:K22)</f>
        <v>0</v>
      </c>
      <c r="L23" s="8">
        <f>SUM(L18:L22)</f>
        <v>530</v>
      </c>
      <c r="M23" s="8">
        <f>SUM(M18:M22)</f>
        <v>1338.169696969697</v>
      </c>
      <c r="N23" s="1"/>
    </row>
    <row r="24" spans="1:15" x14ac:dyDescent="0.25">
      <c r="A24" s="33"/>
      <c r="B24" s="37"/>
      <c r="C24" s="37"/>
      <c r="D24" s="37"/>
      <c r="E24" s="37"/>
      <c r="F24" s="37"/>
      <c r="G24" s="37"/>
      <c r="H24" s="33"/>
      <c r="I24" s="33"/>
      <c r="M24" s="1"/>
      <c r="N24" s="1"/>
    </row>
    <row r="25" spans="1:15" x14ac:dyDescent="0.25">
      <c r="A25" s="33"/>
      <c r="B25" s="37"/>
      <c r="C25" s="37"/>
      <c r="D25" s="37"/>
      <c r="E25" s="37"/>
      <c r="F25" s="37"/>
      <c r="G25" s="37"/>
      <c r="H25" s="33"/>
      <c r="I25" s="33"/>
      <c r="M25" s="1"/>
      <c r="N25" s="1"/>
    </row>
    <row r="26" spans="1:15" ht="15.75" thickBot="1" x14ac:dyDescent="0.3">
      <c r="A26" s="33"/>
      <c r="B26" s="184" t="s">
        <v>29</v>
      </c>
      <c r="C26" s="185"/>
      <c r="D26" s="185"/>
      <c r="E26" s="185"/>
      <c r="F26" s="185"/>
      <c r="G26" s="186"/>
      <c r="H26" s="33" t="s">
        <v>6</v>
      </c>
      <c r="I26" s="33"/>
      <c r="K26" s="34">
        <f>+H33</f>
        <v>278.60000000000002</v>
      </c>
      <c r="L26">
        <f>+K26/33</f>
        <v>8.4424242424242433</v>
      </c>
      <c r="M26" s="1">
        <f>+L26*28</f>
        <v>236.3878787878788</v>
      </c>
      <c r="N26" s="1"/>
    </row>
    <row r="27" spans="1:15" ht="15.75" thickBot="1" x14ac:dyDescent="0.3">
      <c r="B27" s="181"/>
      <c r="C27" s="182"/>
      <c r="D27" s="182"/>
      <c r="E27" s="182"/>
      <c r="F27" s="182"/>
      <c r="G27" s="183"/>
      <c r="H27" s="5" t="s">
        <v>7</v>
      </c>
      <c r="I27" s="5" t="s">
        <v>8</v>
      </c>
      <c r="J27" s="5" t="s">
        <v>9</v>
      </c>
      <c r="K27" s="5" t="s">
        <v>10</v>
      </c>
      <c r="L27" s="5" t="s">
        <v>11</v>
      </c>
      <c r="M27" s="5" t="s">
        <v>12</v>
      </c>
      <c r="N27" s="4">
        <v>1280</v>
      </c>
      <c r="O27" s="35"/>
    </row>
    <row r="28" spans="1:15" ht="30.75" customHeight="1" x14ac:dyDescent="0.25">
      <c r="B28" s="6" t="s">
        <v>13</v>
      </c>
      <c r="C28" s="178" t="s">
        <v>72</v>
      </c>
      <c r="D28" s="179"/>
      <c r="E28" s="179"/>
      <c r="F28" s="179"/>
      <c r="G28" s="180"/>
      <c r="H28" s="12">
        <v>63</v>
      </c>
      <c r="I28" s="1">
        <f t="shared" ref="I28:I32" si="7">+H28/33*28</f>
        <v>53.454545454545453</v>
      </c>
      <c r="J28" s="1">
        <v>0</v>
      </c>
      <c r="K28" s="1"/>
      <c r="L28" s="1">
        <v>50</v>
      </c>
      <c r="M28" s="1">
        <f>+I28+J28+K28+L28</f>
        <v>103.45454545454545</v>
      </c>
      <c r="N28" s="1"/>
    </row>
    <row r="29" spans="1:15" x14ac:dyDescent="0.25">
      <c r="B29" s="6" t="s">
        <v>14</v>
      </c>
      <c r="C29" s="147" t="s">
        <v>73</v>
      </c>
      <c r="D29" s="148"/>
      <c r="E29" s="148"/>
      <c r="F29" s="148"/>
      <c r="G29" s="149"/>
      <c r="H29">
        <v>3</v>
      </c>
      <c r="I29" s="1">
        <f t="shared" si="7"/>
        <v>2.5454545454545454</v>
      </c>
      <c r="J29" s="1">
        <v>0</v>
      </c>
      <c r="K29" s="1"/>
      <c r="L29" s="1">
        <v>50</v>
      </c>
      <c r="M29" s="1">
        <f>+I29+J29+K29+L29</f>
        <v>52.545454545454547</v>
      </c>
      <c r="N29" s="1"/>
    </row>
    <row r="30" spans="1:15" x14ac:dyDescent="0.25">
      <c r="B30" s="6" t="s">
        <v>15</v>
      </c>
      <c r="C30" s="147" t="s">
        <v>75</v>
      </c>
      <c r="D30" s="148"/>
      <c r="E30" s="148"/>
      <c r="F30" s="148"/>
      <c r="G30" s="149"/>
      <c r="H30">
        <v>45</v>
      </c>
      <c r="I30" s="1">
        <f t="shared" si="7"/>
        <v>38.18181818181818</v>
      </c>
      <c r="J30" s="1">
        <v>0</v>
      </c>
      <c r="K30" s="1"/>
      <c r="L30" s="1">
        <v>50</v>
      </c>
      <c r="M30" s="1">
        <f>+I30+J30+K30+L30</f>
        <v>88.181818181818187</v>
      </c>
      <c r="N30" s="1"/>
    </row>
    <row r="31" spans="1:15" ht="15.75" customHeight="1" x14ac:dyDescent="0.25">
      <c r="B31" s="6" t="s">
        <v>16</v>
      </c>
      <c r="C31" s="147" t="s">
        <v>74</v>
      </c>
      <c r="D31" s="148"/>
      <c r="E31" s="148"/>
      <c r="F31" s="148"/>
      <c r="G31" s="149"/>
      <c r="H31" s="33">
        <v>92.6</v>
      </c>
      <c r="I31" s="1">
        <f t="shared" si="7"/>
        <v>78.569696969696963</v>
      </c>
      <c r="J31" s="1">
        <v>0</v>
      </c>
      <c r="K31" s="1"/>
      <c r="L31" s="1">
        <v>50</v>
      </c>
      <c r="M31" s="1">
        <f>+I31+J31+K31+L31</f>
        <v>128.56969696969696</v>
      </c>
      <c r="N31" s="1"/>
    </row>
    <row r="32" spans="1:15" ht="30" customHeight="1" x14ac:dyDescent="0.25">
      <c r="B32" s="6" t="s">
        <v>17</v>
      </c>
      <c r="C32" s="175" t="s">
        <v>83</v>
      </c>
      <c r="D32" s="176"/>
      <c r="E32" s="176"/>
      <c r="F32" s="176"/>
      <c r="G32" s="177"/>
      <c r="H32" s="33">
        <v>75</v>
      </c>
      <c r="I32" s="1">
        <f t="shared" si="7"/>
        <v>63.63636363636364</v>
      </c>
      <c r="J32" s="1"/>
      <c r="K32" s="1"/>
      <c r="L32" s="1">
        <f>50+35</f>
        <v>85</v>
      </c>
      <c r="M32" s="1">
        <f>+I32+J32+K32+L32</f>
        <v>148.63636363636363</v>
      </c>
      <c r="N32" s="1"/>
    </row>
    <row r="33" spans="2:14" ht="15.75" customHeight="1" x14ac:dyDescent="0.25">
      <c r="B33" s="164"/>
      <c r="C33" s="151"/>
      <c r="D33" s="151"/>
      <c r="E33" s="151"/>
      <c r="F33" s="151"/>
      <c r="G33" s="152"/>
      <c r="H33" s="7">
        <f t="shared" ref="H33:M33" si="8">SUM(H28:H32)</f>
        <v>278.60000000000002</v>
      </c>
      <c r="I33" s="8">
        <f t="shared" si="8"/>
        <v>236.38787878787878</v>
      </c>
      <c r="J33" s="8">
        <f t="shared" si="8"/>
        <v>0</v>
      </c>
      <c r="K33" s="8">
        <f t="shared" si="8"/>
        <v>0</v>
      </c>
      <c r="L33" s="8">
        <f t="shared" si="8"/>
        <v>285</v>
      </c>
      <c r="M33" s="8">
        <f t="shared" si="8"/>
        <v>521.38787878787878</v>
      </c>
      <c r="N33" s="1"/>
    </row>
    <row r="34" spans="2:14" ht="15.75" customHeight="1" x14ac:dyDescent="0.25">
      <c r="B34" s="153"/>
      <c r="C34" s="154"/>
      <c r="D34" s="154"/>
      <c r="E34" s="154"/>
      <c r="F34" s="154"/>
      <c r="G34" s="155"/>
      <c r="M34" s="1"/>
      <c r="N34" s="1"/>
    </row>
    <row r="35" spans="2:14" ht="15.75" customHeight="1" x14ac:dyDescent="0.25">
      <c r="B35" s="160"/>
      <c r="C35" s="148"/>
      <c r="D35" s="148"/>
      <c r="E35" s="148"/>
      <c r="F35" s="148"/>
      <c r="G35" s="149"/>
      <c r="M35" s="1"/>
      <c r="N35" s="1"/>
    </row>
    <row r="36" spans="2:14" ht="15.75" customHeight="1" x14ac:dyDescent="0.25">
      <c r="B36" s="88" t="s">
        <v>165</v>
      </c>
      <c r="C36" s="88" t="s">
        <v>166</v>
      </c>
      <c r="D36" s="37"/>
      <c r="M36" s="1"/>
      <c r="N36" s="1"/>
    </row>
    <row r="37" spans="2:14" ht="15.75" customHeight="1" x14ac:dyDescent="0.25">
      <c r="C37" s="3" t="s">
        <v>167</v>
      </c>
      <c r="M37" s="1"/>
      <c r="N37" s="1"/>
    </row>
    <row r="38" spans="2:14" ht="15.75" customHeight="1" x14ac:dyDescent="0.25">
      <c r="C38" s="3" t="s">
        <v>168</v>
      </c>
      <c r="M38" s="1"/>
      <c r="N38" s="1"/>
    </row>
    <row r="39" spans="2:14" ht="15.75" customHeight="1" x14ac:dyDescent="0.25">
      <c r="C39" s="3" t="s">
        <v>169</v>
      </c>
      <c r="M39" s="1"/>
      <c r="N39" s="1"/>
    </row>
    <row r="40" spans="2:14" ht="15.75" customHeight="1" x14ac:dyDescent="0.25">
      <c r="M40" s="1"/>
      <c r="N40" s="1"/>
    </row>
    <row r="41" spans="2:14" ht="15.75" customHeight="1" x14ac:dyDescent="0.25">
      <c r="M41" s="1"/>
      <c r="N41" s="1"/>
    </row>
    <row r="42" spans="2:14" ht="15.75" customHeight="1" x14ac:dyDescent="0.25">
      <c r="M42" s="1"/>
      <c r="N42" s="1"/>
    </row>
    <row r="43" spans="2:14" ht="15.75" customHeight="1" x14ac:dyDescent="0.25">
      <c r="M43" s="1"/>
      <c r="N43" s="1"/>
    </row>
    <row r="44" spans="2:14" ht="15.75" customHeight="1" x14ac:dyDescent="0.25">
      <c r="M44" s="1"/>
      <c r="N44" s="1"/>
    </row>
    <row r="45" spans="2:14" ht="15.75" customHeight="1" x14ac:dyDescent="0.25">
      <c r="M45" s="1"/>
      <c r="N45" s="1"/>
    </row>
    <row r="46" spans="2:14" ht="15.75" customHeight="1" x14ac:dyDescent="0.25">
      <c r="M46" s="1"/>
      <c r="N46" s="1"/>
    </row>
    <row r="47" spans="2:14" ht="15.75" customHeight="1" x14ac:dyDescent="0.25">
      <c r="M47" s="1"/>
      <c r="N47" s="1"/>
    </row>
    <row r="48" spans="2:14" ht="15.75" customHeight="1" x14ac:dyDescent="0.25">
      <c r="M48" s="1"/>
      <c r="N48" s="1"/>
    </row>
    <row r="49" spans="13:14" ht="15.75" customHeight="1" x14ac:dyDescent="0.25">
      <c r="M49" s="1"/>
      <c r="N49" s="1"/>
    </row>
    <row r="50" spans="13:14" ht="15.75" customHeight="1" x14ac:dyDescent="0.25">
      <c r="M50" s="1"/>
      <c r="N50" s="1"/>
    </row>
    <row r="51" spans="13:14" ht="15.75" customHeight="1" x14ac:dyDescent="0.25">
      <c r="M51" s="1"/>
      <c r="N51" s="1"/>
    </row>
    <row r="52" spans="13:14" ht="15.75" customHeight="1" x14ac:dyDescent="0.25">
      <c r="M52" s="1"/>
      <c r="N52" s="1"/>
    </row>
    <row r="53" spans="13:14" ht="15.75" customHeight="1" x14ac:dyDescent="0.25">
      <c r="M53" s="1"/>
      <c r="N53" s="1"/>
    </row>
    <row r="54" spans="13:14" ht="15.75" customHeight="1" x14ac:dyDescent="0.25">
      <c r="M54" s="1"/>
      <c r="N54" s="1"/>
    </row>
    <row r="55" spans="13:14" ht="15.75" customHeight="1" x14ac:dyDescent="0.25">
      <c r="M55" s="1"/>
      <c r="N55" s="1"/>
    </row>
    <row r="56" spans="13:14" ht="15.75" customHeight="1" x14ac:dyDescent="0.25">
      <c r="M56" s="1"/>
      <c r="N56" s="1"/>
    </row>
    <row r="57" spans="13:14" ht="15.75" customHeight="1" x14ac:dyDescent="0.25">
      <c r="M57" s="1"/>
      <c r="N57" s="1"/>
    </row>
    <row r="58" spans="13:14" ht="15.75" customHeight="1" x14ac:dyDescent="0.25">
      <c r="M58" s="1"/>
      <c r="N58" s="1"/>
    </row>
    <row r="59" spans="13:14" ht="15.75" customHeight="1" x14ac:dyDescent="0.25">
      <c r="M59" s="1"/>
      <c r="N59" s="1"/>
    </row>
    <row r="60" spans="13:14" ht="15.75" customHeight="1" x14ac:dyDescent="0.25">
      <c r="M60" s="1"/>
      <c r="N60" s="1"/>
    </row>
    <row r="61" spans="13:14" ht="15.75" customHeight="1" x14ac:dyDescent="0.25">
      <c r="M61" s="1"/>
      <c r="N61" s="1"/>
    </row>
    <row r="62" spans="13:14" ht="15.75" customHeight="1" x14ac:dyDescent="0.25">
      <c r="M62" s="1"/>
      <c r="N62" s="1"/>
    </row>
    <row r="63" spans="13:14" ht="15.75" customHeight="1" x14ac:dyDescent="0.25">
      <c r="M63" s="1"/>
      <c r="N63" s="1"/>
    </row>
    <row r="64" spans="13:14" ht="15.75" customHeight="1" x14ac:dyDescent="0.25">
      <c r="M64" s="1"/>
      <c r="N64" s="1"/>
    </row>
    <row r="65" spans="13:14" ht="15.75" customHeight="1" x14ac:dyDescent="0.25">
      <c r="M65" s="1"/>
      <c r="N65" s="1"/>
    </row>
    <row r="66" spans="13:14" ht="15.75" customHeight="1" x14ac:dyDescent="0.25">
      <c r="M66" s="1"/>
      <c r="N66" s="1"/>
    </row>
    <row r="67" spans="13:14" ht="15.75" customHeight="1" x14ac:dyDescent="0.25">
      <c r="M67" s="1"/>
      <c r="N67" s="1"/>
    </row>
    <row r="68" spans="13:14" ht="15.75" customHeight="1" x14ac:dyDescent="0.25">
      <c r="M68" s="1"/>
      <c r="N68" s="1"/>
    </row>
    <row r="69" spans="13:14" ht="15.75" customHeight="1" x14ac:dyDescent="0.25">
      <c r="M69" s="1"/>
      <c r="N69" s="1"/>
    </row>
    <row r="70" spans="13:14" ht="15.75" customHeight="1" x14ac:dyDescent="0.25">
      <c r="M70" s="1"/>
      <c r="N70" s="1"/>
    </row>
    <row r="71" spans="13:14" ht="15.75" customHeight="1" x14ac:dyDescent="0.25">
      <c r="M71" s="1"/>
      <c r="N71" s="1"/>
    </row>
    <row r="72" spans="13:14" ht="15.75" customHeight="1" x14ac:dyDescent="0.25">
      <c r="M72" s="1"/>
      <c r="N72" s="1"/>
    </row>
    <row r="73" spans="13:14" ht="15.75" customHeight="1" x14ac:dyDescent="0.25">
      <c r="M73" s="1"/>
      <c r="N73" s="1"/>
    </row>
    <row r="74" spans="13:14" ht="15.75" customHeight="1" x14ac:dyDescent="0.25">
      <c r="M74" s="1"/>
      <c r="N74" s="1"/>
    </row>
    <row r="75" spans="13:14" ht="15.75" customHeight="1" x14ac:dyDescent="0.25">
      <c r="M75" s="1"/>
      <c r="N75" s="1"/>
    </row>
    <row r="76" spans="13:14" ht="15.75" customHeight="1" x14ac:dyDescent="0.25">
      <c r="M76" s="1"/>
      <c r="N76" s="1"/>
    </row>
    <row r="77" spans="13:14" ht="15.75" customHeight="1" x14ac:dyDescent="0.25">
      <c r="M77" s="1"/>
      <c r="N77" s="1"/>
    </row>
    <row r="78" spans="13:14" ht="15.75" customHeight="1" x14ac:dyDescent="0.25">
      <c r="M78" s="1"/>
      <c r="N78" s="1"/>
    </row>
    <row r="79" spans="13:14" ht="15.75" customHeight="1" x14ac:dyDescent="0.25">
      <c r="M79" s="1"/>
      <c r="N79" s="1"/>
    </row>
    <row r="80" spans="13:14" ht="15.75" customHeight="1" x14ac:dyDescent="0.25">
      <c r="M80" s="1"/>
      <c r="N80" s="1"/>
    </row>
    <row r="81" spans="13:14" ht="15.75" customHeight="1" x14ac:dyDescent="0.25">
      <c r="M81" s="1"/>
      <c r="N81" s="1"/>
    </row>
    <row r="82" spans="13:14" ht="15.75" customHeight="1" x14ac:dyDescent="0.25">
      <c r="M82" s="1"/>
      <c r="N82" s="1"/>
    </row>
    <row r="83" spans="13:14" ht="15.75" customHeight="1" x14ac:dyDescent="0.25">
      <c r="M83" s="1"/>
      <c r="N83" s="1"/>
    </row>
    <row r="84" spans="13:14" ht="15.75" customHeight="1" x14ac:dyDescent="0.25">
      <c r="M84" s="1"/>
      <c r="N84" s="1"/>
    </row>
    <row r="85" spans="13:14" ht="15.75" customHeight="1" x14ac:dyDescent="0.25">
      <c r="M85" s="1"/>
      <c r="N85" s="1"/>
    </row>
    <row r="86" spans="13:14" ht="15.75" customHeight="1" x14ac:dyDescent="0.25">
      <c r="M86" s="1"/>
      <c r="N86" s="1"/>
    </row>
    <row r="87" spans="13:14" ht="15.75" customHeight="1" x14ac:dyDescent="0.25">
      <c r="M87" s="1"/>
      <c r="N87" s="1"/>
    </row>
    <row r="88" spans="13:14" ht="15.75" customHeight="1" x14ac:dyDescent="0.25">
      <c r="M88" s="1"/>
      <c r="N88" s="1"/>
    </row>
    <row r="89" spans="13:14" ht="15.75" customHeight="1" x14ac:dyDescent="0.25">
      <c r="M89" s="1"/>
      <c r="N89" s="1"/>
    </row>
    <row r="90" spans="13:14" ht="15.75" customHeight="1" x14ac:dyDescent="0.25">
      <c r="M90" s="1"/>
      <c r="N90" s="1"/>
    </row>
    <row r="91" spans="13:14" ht="15.75" customHeight="1" x14ac:dyDescent="0.25">
      <c r="M91" s="1"/>
      <c r="N91" s="1"/>
    </row>
    <row r="92" spans="13:14" ht="15.75" customHeight="1" x14ac:dyDescent="0.25">
      <c r="M92" s="1"/>
      <c r="N92" s="1"/>
    </row>
    <row r="93" spans="13:14" ht="15.75" customHeight="1" x14ac:dyDescent="0.25">
      <c r="M93" s="1"/>
      <c r="N93" s="1"/>
    </row>
    <row r="94" spans="13:14" ht="15.75" customHeight="1" x14ac:dyDescent="0.25">
      <c r="M94" s="1"/>
      <c r="N94" s="1"/>
    </row>
    <row r="95" spans="13:14" ht="15.75" customHeight="1" x14ac:dyDescent="0.25">
      <c r="M95" s="1"/>
      <c r="N95" s="1"/>
    </row>
    <row r="96" spans="13:14" ht="15.75" customHeight="1" x14ac:dyDescent="0.25">
      <c r="M96" s="1"/>
      <c r="N96" s="1"/>
    </row>
  </sheetData>
  <mergeCells count="29">
    <mergeCell ref="B35:G35"/>
    <mergeCell ref="B33:G34"/>
    <mergeCell ref="C31:G31"/>
    <mergeCell ref="C32:G32"/>
    <mergeCell ref="C18:G18"/>
    <mergeCell ref="B26:G26"/>
    <mergeCell ref="C30:G30"/>
    <mergeCell ref="C19:G19"/>
    <mergeCell ref="C20:G20"/>
    <mergeCell ref="C21:G21"/>
    <mergeCell ref="C22:G22"/>
    <mergeCell ref="C28:G28"/>
    <mergeCell ref="B27:G27"/>
    <mergeCell ref="C29:G29"/>
    <mergeCell ref="B1:G1"/>
    <mergeCell ref="C4:G4"/>
    <mergeCell ref="B7:G7"/>
    <mergeCell ref="B16:G16"/>
    <mergeCell ref="B17:G17"/>
    <mergeCell ref="B5:G6"/>
    <mergeCell ref="B14:G15"/>
    <mergeCell ref="C11:G11"/>
    <mergeCell ref="C12:G12"/>
    <mergeCell ref="C13:G13"/>
    <mergeCell ref="C2:G2"/>
    <mergeCell ref="C3:G3"/>
    <mergeCell ref="B8:G8"/>
    <mergeCell ref="C9:G9"/>
    <mergeCell ref="C10:G10"/>
  </mergeCells>
  <pageMargins left="0.23622047244094491" right="0.23622047244094491" top="0.74803149606299213" bottom="0.74803149606299213" header="0" footer="0"/>
  <pageSetup scale="79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N58"/>
  <sheetViews>
    <sheetView workbookViewId="0">
      <selection activeCell="C24" sqref="C24:G24"/>
    </sheetView>
  </sheetViews>
  <sheetFormatPr baseColWidth="10" defaultColWidth="14.42578125" defaultRowHeight="15" customHeight="1" x14ac:dyDescent="0.25"/>
  <cols>
    <col min="1" max="1" width="3.5703125" customWidth="1"/>
    <col min="2" max="2" width="15.42578125" customWidth="1"/>
    <col min="3" max="6" width="11.42578125" customWidth="1"/>
    <col min="7" max="7" width="21.140625" customWidth="1"/>
    <col min="8" max="8" width="11.42578125" customWidth="1"/>
    <col min="9" max="9" width="13.85546875" customWidth="1"/>
    <col min="10" max="13" width="11.42578125" customWidth="1"/>
    <col min="14" max="14" width="11.42578125" style="35" customWidth="1"/>
  </cols>
  <sheetData>
    <row r="1" spans="2:14" ht="11.25" customHeight="1" x14ac:dyDescent="0.25">
      <c r="M1" s="1"/>
    </row>
    <row r="2" spans="2:14" ht="33.75" x14ac:dyDescent="0.5">
      <c r="B2" s="114" t="s">
        <v>0</v>
      </c>
      <c r="C2" s="115"/>
      <c r="D2" s="115"/>
      <c r="E2" s="115"/>
      <c r="F2" s="115"/>
      <c r="G2" s="116"/>
      <c r="M2" s="40"/>
      <c r="N2" s="40"/>
    </row>
    <row r="3" spans="2:14" ht="18.75" x14ac:dyDescent="0.3">
      <c r="B3" s="41" t="s">
        <v>1</v>
      </c>
      <c r="C3" s="117" t="s">
        <v>170</v>
      </c>
      <c r="D3" s="118"/>
      <c r="E3" s="118"/>
      <c r="F3" s="118"/>
      <c r="G3" s="119"/>
      <c r="M3" s="40"/>
      <c r="N3" s="40"/>
    </row>
    <row r="4" spans="2:14" x14ac:dyDescent="0.25">
      <c r="B4" s="41" t="s">
        <v>2</v>
      </c>
      <c r="C4" s="95" t="s">
        <v>40</v>
      </c>
      <c r="D4" s="96"/>
      <c r="E4" s="96"/>
      <c r="F4" s="96"/>
      <c r="G4" s="97"/>
      <c r="M4" s="40"/>
      <c r="N4" s="40"/>
    </row>
    <row r="5" spans="2:14" x14ac:dyDescent="0.25">
      <c r="B5" s="41" t="s">
        <v>4</v>
      </c>
      <c r="C5" s="95" t="s">
        <v>97</v>
      </c>
      <c r="D5" s="96"/>
      <c r="E5" s="96"/>
      <c r="F5" s="96"/>
      <c r="G5" s="97"/>
      <c r="M5" s="40"/>
      <c r="N5" s="40"/>
    </row>
    <row r="6" spans="2:14" x14ac:dyDescent="0.25">
      <c r="B6" s="120"/>
      <c r="C6" s="121"/>
      <c r="D6" s="121"/>
      <c r="E6" s="121"/>
      <c r="F6" s="121"/>
      <c r="G6" s="122"/>
      <c r="H6" s="112"/>
      <c r="I6" s="113"/>
      <c r="J6" s="113"/>
      <c r="K6" s="113"/>
      <c r="L6" s="113"/>
      <c r="M6" s="113"/>
      <c r="N6" s="113"/>
    </row>
    <row r="7" spans="2:14" x14ac:dyDescent="0.25">
      <c r="B7" s="123"/>
      <c r="C7" s="124"/>
      <c r="D7" s="124"/>
      <c r="E7" s="124"/>
      <c r="F7" s="124"/>
      <c r="G7" s="125"/>
      <c r="H7" s="112"/>
      <c r="I7" s="113"/>
      <c r="J7" s="113"/>
      <c r="K7" s="113"/>
      <c r="L7" s="113"/>
      <c r="M7" s="113"/>
      <c r="N7" s="113"/>
    </row>
    <row r="8" spans="2:14" x14ac:dyDescent="0.25"/>
    <row r="9" spans="2:14" ht="15.75" thickBot="1" x14ac:dyDescent="0.3">
      <c r="H9" s="98"/>
      <c r="I9" s="99"/>
      <c r="J9" s="99"/>
      <c r="K9" s="99"/>
      <c r="L9" s="99"/>
      <c r="M9" s="99"/>
      <c r="N9" s="61"/>
    </row>
    <row r="10" spans="2:14" ht="15.75" thickBot="1" x14ac:dyDescent="0.3">
      <c r="B10" s="100" t="s">
        <v>94</v>
      </c>
      <c r="C10" s="101"/>
      <c r="D10" s="101"/>
      <c r="E10" s="101"/>
      <c r="F10" s="101"/>
      <c r="G10" s="102"/>
      <c r="H10" s="103" t="s">
        <v>6</v>
      </c>
      <c r="I10" s="104"/>
      <c r="J10" s="105"/>
      <c r="K10">
        <v>680</v>
      </c>
      <c r="L10">
        <f>+K10/33</f>
        <v>20.606060606060606</v>
      </c>
      <c r="M10" s="40">
        <f>+L10*28</f>
        <v>576.969696969697</v>
      </c>
      <c r="N10" s="64">
        <v>1325</v>
      </c>
    </row>
    <row r="11" spans="2:14" ht="15.75" thickBot="1" x14ac:dyDescent="0.3">
      <c r="B11" s="106"/>
      <c r="C11" s="107"/>
      <c r="D11" s="107"/>
      <c r="E11" s="107"/>
      <c r="F11" s="107"/>
      <c r="G11" s="108"/>
      <c r="H11" s="42" t="s">
        <v>7</v>
      </c>
      <c r="I11" s="43" t="s">
        <v>8</v>
      </c>
      <c r="J11" s="43" t="s">
        <v>9</v>
      </c>
      <c r="K11" s="43" t="s">
        <v>10</v>
      </c>
      <c r="L11" s="43" t="s">
        <v>11</v>
      </c>
      <c r="M11" s="44" t="s">
        <v>12</v>
      </c>
      <c r="N11" s="62"/>
    </row>
    <row r="12" spans="2:14" x14ac:dyDescent="0.25">
      <c r="B12" s="45" t="s">
        <v>13</v>
      </c>
      <c r="C12" s="95" t="s">
        <v>56</v>
      </c>
      <c r="D12" s="96"/>
      <c r="E12" s="96"/>
      <c r="F12" s="96"/>
      <c r="G12" s="97"/>
      <c r="H12">
        <v>90</v>
      </c>
      <c r="I12" s="40">
        <f>+H12/33*28</f>
        <v>76.36363636363636</v>
      </c>
      <c r="J12" s="40">
        <v>125</v>
      </c>
      <c r="K12" s="40"/>
      <c r="L12" s="40">
        <f>35+50</f>
        <v>85</v>
      </c>
      <c r="M12" s="40">
        <f>+I12+J12+K12+L12</f>
        <v>286.36363636363637</v>
      </c>
      <c r="N12" s="62"/>
    </row>
    <row r="13" spans="2:14" x14ac:dyDescent="0.25">
      <c r="B13" s="45" t="s">
        <v>14</v>
      </c>
      <c r="C13" s="95" t="s">
        <v>57</v>
      </c>
      <c r="D13" s="96"/>
      <c r="E13" s="96"/>
      <c r="F13" s="96"/>
      <c r="G13" s="97"/>
      <c r="H13">
        <v>35</v>
      </c>
      <c r="I13" s="40">
        <f t="shared" ref="I13:I16" si="0">+H13/33*28</f>
        <v>29.696969696969695</v>
      </c>
      <c r="J13" s="40">
        <v>125</v>
      </c>
      <c r="K13" s="46"/>
      <c r="L13" s="40">
        <f>35+50+35</f>
        <v>120</v>
      </c>
      <c r="M13" s="40">
        <f t="shared" ref="M13:M16" si="1">+I13+J13+K13+L13</f>
        <v>274.69696969696969</v>
      </c>
      <c r="N13" s="62"/>
    </row>
    <row r="14" spans="2:14" x14ac:dyDescent="0.25">
      <c r="B14" s="45" t="s">
        <v>15</v>
      </c>
      <c r="C14" s="95" t="s">
        <v>58</v>
      </c>
      <c r="D14" s="96"/>
      <c r="E14" s="96"/>
      <c r="F14" s="96"/>
      <c r="G14" s="97"/>
      <c r="H14">
        <v>20</v>
      </c>
      <c r="I14" s="40">
        <f t="shared" si="0"/>
        <v>16.969696969696969</v>
      </c>
      <c r="J14" s="40">
        <v>125</v>
      </c>
      <c r="K14" s="46"/>
      <c r="L14" s="40">
        <f t="shared" ref="L14:L15" si="2">35+50+35</f>
        <v>120</v>
      </c>
      <c r="M14" s="40">
        <f t="shared" si="1"/>
        <v>261.969696969697</v>
      </c>
      <c r="N14" s="62"/>
    </row>
    <row r="15" spans="2:14" x14ac:dyDescent="0.25">
      <c r="B15" s="45" t="s">
        <v>16</v>
      </c>
      <c r="C15" s="95" t="s">
        <v>59</v>
      </c>
      <c r="D15" s="96"/>
      <c r="E15" s="96"/>
      <c r="F15" s="96"/>
      <c r="G15" s="97"/>
      <c r="H15" s="33">
        <v>20</v>
      </c>
      <c r="I15" s="40">
        <f t="shared" si="0"/>
        <v>16.969696969696969</v>
      </c>
      <c r="J15" s="40">
        <v>125</v>
      </c>
      <c r="K15" s="46"/>
      <c r="L15" s="40">
        <f t="shared" si="2"/>
        <v>120</v>
      </c>
      <c r="M15" s="40">
        <f t="shared" si="1"/>
        <v>261.969696969697</v>
      </c>
      <c r="N15" s="62"/>
    </row>
    <row r="16" spans="2:14" x14ac:dyDescent="0.25">
      <c r="B16" s="47" t="s">
        <v>17</v>
      </c>
      <c r="C16" s="95" t="s">
        <v>60</v>
      </c>
      <c r="D16" s="96"/>
      <c r="E16" s="96"/>
      <c r="F16" s="96"/>
      <c r="G16" s="97"/>
      <c r="H16" s="33">
        <v>155</v>
      </c>
      <c r="I16" s="40">
        <f t="shared" si="0"/>
        <v>131.51515151515153</v>
      </c>
      <c r="J16" s="40"/>
      <c r="K16" s="46"/>
      <c r="L16" s="40">
        <f>50+35</f>
        <v>85</v>
      </c>
      <c r="M16" s="40">
        <f t="shared" si="1"/>
        <v>216.51515151515153</v>
      </c>
      <c r="N16" s="62"/>
    </row>
    <row r="17" spans="2:14" x14ac:dyDescent="0.25">
      <c r="B17" s="89"/>
      <c r="C17" s="90"/>
      <c r="D17" s="90"/>
      <c r="E17" s="90"/>
      <c r="F17" s="90"/>
      <c r="G17" s="91"/>
      <c r="H17" s="48">
        <f t="shared" ref="H17:M17" si="3">SUM(H12:H16)</f>
        <v>320</v>
      </c>
      <c r="I17" s="49">
        <f t="shared" si="3"/>
        <v>271.5151515151515</v>
      </c>
      <c r="J17" s="49">
        <f t="shared" si="3"/>
        <v>500</v>
      </c>
      <c r="K17" s="49">
        <f t="shared" si="3"/>
        <v>0</v>
      </c>
      <c r="L17" s="49">
        <f t="shared" si="3"/>
        <v>530</v>
      </c>
      <c r="M17" s="49">
        <f t="shared" si="3"/>
        <v>1301.5151515151515</v>
      </c>
      <c r="N17" s="62"/>
    </row>
    <row r="18" spans="2:14" x14ac:dyDescent="0.25">
      <c r="B18" s="92"/>
      <c r="C18" s="93"/>
      <c r="D18" s="93"/>
      <c r="E18" s="93"/>
      <c r="F18" s="93"/>
      <c r="G18" s="94"/>
      <c r="M18" s="46"/>
      <c r="N18" s="63"/>
    </row>
    <row r="19" spans="2:14" ht="15.75" thickBot="1" x14ac:dyDescent="0.3">
      <c r="B19" s="50"/>
      <c r="C19" s="51"/>
      <c r="D19" s="51"/>
      <c r="E19" s="51"/>
      <c r="F19" s="51"/>
      <c r="G19" s="51"/>
      <c r="H19" s="98"/>
      <c r="I19" s="99"/>
      <c r="J19" s="99"/>
      <c r="K19" s="99"/>
      <c r="L19" s="99"/>
      <c r="M19" s="99"/>
      <c r="N19" s="59"/>
    </row>
    <row r="20" spans="2:14" ht="15.75" thickBot="1" x14ac:dyDescent="0.3">
      <c r="B20" s="100" t="s">
        <v>46</v>
      </c>
      <c r="C20" s="101"/>
      <c r="D20" s="101"/>
      <c r="E20" s="101"/>
      <c r="F20" s="101"/>
      <c r="G20" s="102"/>
      <c r="H20" s="103" t="s">
        <v>6</v>
      </c>
      <c r="I20" s="104"/>
      <c r="J20" s="105"/>
      <c r="K20">
        <v>680</v>
      </c>
      <c r="L20">
        <f>+K20/33</f>
        <v>20.606060606060606</v>
      </c>
      <c r="M20" s="40">
        <f>+L20*28</f>
        <v>576.969696969697</v>
      </c>
      <c r="N20" s="60">
        <v>1579</v>
      </c>
    </row>
    <row r="21" spans="2:14" ht="15.75" customHeight="1" thickBot="1" x14ac:dyDescent="0.3">
      <c r="B21" s="109"/>
      <c r="C21" s="110"/>
      <c r="D21" s="110"/>
      <c r="E21" s="110"/>
      <c r="F21" s="110"/>
      <c r="G21" s="111"/>
      <c r="H21" s="52" t="s">
        <v>7</v>
      </c>
      <c r="I21" s="52" t="s">
        <v>8</v>
      </c>
      <c r="J21" s="52" t="s">
        <v>9</v>
      </c>
      <c r="K21" s="53" t="s">
        <v>10</v>
      </c>
      <c r="L21" s="43" t="s">
        <v>11</v>
      </c>
      <c r="M21" s="54" t="s">
        <v>12</v>
      </c>
      <c r="N21" s="56"/>
    </row>
    <row r="22" spans="2:14" ht="15.75" customHeight="1" x14ac:dyDescent="0.25">
      <c r="B22" s="45" t="s">
        <v>13</v>
      </c>
      <c r="C22" s="95" t="s">
        <v>47</v>
      </c>
      <c r="D22" s="96"/>
      <c r="E22" s="96"/>
      <c r="F22" s="96"/>
      <c r="G22" s="97"/>
      <c r="H22">
        <v>155</v>
      </c>
      <c r="I22" s="40">
        <f>+H22/33*28</f>
        <v>131.51515151515153</v>
      </c>
      <c r="J22" s="40">
        <v>125</v>
      </c>
      <c r="K22" s="40"/>
      <c r="L22" s="40">
        <f>35+50</f>
        <v>85</v>
      </c>
      <c r="M22" s="40">
        <f>+I22+J22+K22+L22</f>
        <v>341.5151515151515</v>
      </c>
      <c r="N22" s="56"/>
    </row>
    <row r="23" spans="2:14" ht="15.75" customHeight="1" x14ac:dyDescent="0.25">
      <c r="B23" s="45" t="s">
        <v>14</v>
      </c>
      <c r="C23" s="95" t="s">
        <v>48</v>
      </c>
      <c r="D23" s="96"/>
      <c r="E23" s="96"/>
      <c r="F23" s="96"/>
      <c r="G23" s="97"/>
      <c r="H23">
        <v>98</v>
      </c>
      <c r="I23" s="40">
        <f t="shared" ref="I23:I26" si="4">+H23/33*28</f>
        <v>83.151515151515156</v>
      </c>
      <c r="J23" s="40">
        <v>125</v>
      </c>
      <c r="K23" s="46"/>
      <c r="L23" s="40">
        <f>35+50+35</f>
        <v>120</v>
      </c>
      <c r="M23" s="40">
        <f t="shared" ref="M23:M26" si="5">+I23+J23+K23+L23</f>
        <v>328.15151515151513</v>
      </c>
      <c r="N23" s="56"/>
    </row>
    <row r="24" spans="2:14" ht="15.75" customHeight="1" x14ac:dyDescent="0.25">
      <c r="B24" s="45" t="s">
        <v>15</v>
      </c>
      <c r="C24" s="95" t="s">
        <v>49</v>
      </c>
      <c r="D24" s="96"/>
      <c r="E24" s="96"/>
      <c r="F24" s="96"/>
      <c r="G24" s="97"/>
      <c r="H24">
        <v>170</v>
      </c>
      <c r="I24" s="40">
        <f t="shared" si="4"/>
        <v>144.24242424242425</v>
      </c>
      <c r="J24" s="40">
        <v>125</v>
      </c>
      <c r="K24" s="46"/>
      <c r="L24" s="40">
        <f t="shared" ref="L24:L25" si="6">35+50+35</f>
        <v>120</v>
      </c>
      <c r="M24" s="40">
        <f t="shared" si="5"/>
        <v>389.24242424242425</v>
      </c>
      <c r="N24" s="56"/>
    </row>
    <row r="25" spans="2:14" ht="15.75" customHeight="1" x14ac:dyDescent="0.25">
      <c r="B25" s="45" t="s">
        <v>16</v>
      </c>
      <c r="C25" s="95" t="s">
        <v>50</v>
      </c>
      <c r="D25" s="96"/>
      <c r="E25" s="96"/>
      <c r="F25" s="96"/>
      <c r="G25" s="97"/>
      <c r="H25" s="33">
        <v>90</v>
      </c>
      <c r="I25" s="40">
        <f t="shared" si="4"/>
        <v>76.36363636363636</v>
      </c>
      <c r="J25" s="40">
        <v>125</v>
      </c>
      <c r="K25" s="46"/>
      <c r="L25" s="40">
        <f t="shared" si="6"/>
        <v>120</v>
      </c>
      <c r="M25" s="40">
        <f t="shared" si="5"/>
        <v>321.36363636363637</v>
      </c>
      <c r="N25" s="56"/>
    </row>
    <row r="26" spans="2:14" ht="15.75" customHeight="1" x14ac:dyDescent="0.25">
      <c r="B26" s="45" t="s">
        <v>17</v>
      </c>
      <c r="C26" s="95" t="s">
        <v>175</v>
      </c>
      <c r="D26" s="96"/>
      <c r="E26" s="96"/>
      <c r="F26" s="96"/>
      <c r="G26" s="97"/>
      <c r="H26" s="33">
        <v>160</v>
      </c>
      <c r="I26" s="40">
        <f t="shared" si="4"/>
        <v>135.75757575757575</v>
      </c>
      <c r="J26" s="40"/>
      <c r="K26" s="46"/>
      <c r="L26" s="40">
        <f>35+50</f>
        <v>85</v>
      </c>
      <c r="M26" s="40">
        <f t="shared" si="5"/>
        <v>220.75757575757575</v>
      </c>
      <c r="N26" s="56"/>
    </row>
    <row r="27" spans="2:14" ht="15.75" customHeight="1" x14ac:dyDescent="0.25">
      <c r="B27" s="89"/>
      <c r="C27" s="90"/>
      <c r="D27" s="90"/>
      <c r="E27" s="90"/>
      <c r="F27" s="90"/>
      <c r="G27" s="91"/>
      <c r="H27" s="48">
        <f t="shared" ref="H27:M27" si="7">SUM(H22:H26)</f>
        <v>673</v>
      </c>
      <c r="I27" s="49">
        <f t="shared" si="7"/>
        <v>571.030303030303</v>
      </c>
      <c r="J27" s="49">
        <f t="shared" si="7"/>
        <v>500</v>
      </c>
      <c r="K27" s="49">
        <f t="shared" si="7"/>
        <v>0</v>
      </c>
      <c r="L27" s="49">
        <f t="shared" si="7"/>
        <v>530</v>
      </c>
      <c r="M27" s="49">
        <f t="shared" si="7"/>
        <v>1601.0303030303032</v>
      </c>
      <c r="N27" s="56"/>
    </row>
    <row r="28" spans="2:14" ht="15.75" customHeight="1" x14ac:dyDescent="0.25">
      <c r="B28" s="92"/>
      <c r="C28" s="93"/>
      <c r="D28" s="93"/>
      <c r="E28" s="93"/>
      <c r="F28" s="93"/>
      <c r="G28" s="94"/>
      <c r="M28" s="46"/>
      <c r="N28" s="40"/>
    </row>
    <row r="29" spans="2:14" ht="15.75" customHeight="1" x14ac:dyDescent="0.25"/>
    <row r="30" spans="2:14" ht="15.75" customHeight="1" x14ac:dyDescent="0.25"/>
    <row r="31" spans="2:14" ht="15.75" customHeight="1" x14ac:dyDescent="0.25"/>
    <row r="32" spans="2:14" ht="15.75" customHeight="1" x14ac:dyDescent="0.25"/>
    <row r="33" spans="2:14" ht="15.75" customHeight="1" x14ac:dyDescent="0.25"/>
    <row r="34" spans="2:14" ht="15.75" customHeight="1" thickBot="1" x14ac:dyDescent="0.3">
      <c r="H34" s="98"/>
      <c r="I34" s="99"/>
      <c r="J34" s="99"/>
      <c r="K34" s="99"/>
      <c r="L34" s="99"/>
      <c r="M34" s="99"/>
    </row>
    <row r="35" spans="2:14" ht="15.75" customHeight="1" thickBot="1" x14ac:dyDescent="0.3">
      <c r="B35" s="100" t="s">
        <v>51</v>
      </c>
      <c r="C35" s="101"/>
      <c r="D35" s="101"/>
      <c r="E35" s="101"/>
      <c r="F35" s="101"/>
      <c r="G35" s="102"/>
      <c r="H35" s="103" t="s">
        <v>6</v>
      </c>
      <c r="I35" s="104"/>
      <c r="J35" s="105"/>
      <c r="K35">
        <f>610+190</f>
        <v>800</v>
      </c>
      <c r="L35">
        <f>+K35/33</f>
        <v>24.242424242424242</v>
      </c>
      <c r="M35" s="40">
        <f>+L35*28</f>
        <v>678.78787878787875</v>
      </c>
      <c r="N35" s="57">
        <v>1473</v>
      </c>
    </row>
    <row r="36" spans="2:14" ht="15.75" customHeight="1" thickBot="1" x14ac:dyDescent="0.3">
      <c r="B36" s="106"/>
      <c r="C36" s="107"/>
      <c r="D36" s="107"/>
      <c r="E36" s="107"/>
      <c r="F36" s="107"/>
      <c r="G36" s="108"/>
      <c r="H36" s="42" t="s">
        <v>7</v>
      </c>
      <c r="I36" s="43" t="s">
        <v>8</v>
      </c>
      <c r="J36" s="43" t="s">
        <v>9</v>
      </c>
      <c r="K36" s="43" t="s">
        <v>10</v>
      </c>
      <c r="L36" s="43" t="s">
        <v>11</v>
      </c>
      <c r="M36" s="44" t="s">
        <v>12</v>
      </c>
      <c r="N36" s="40"/>
    </row>
    <row r="37" spans="2:14" ht="15.75" customHeight="1" x14ac:dyDescent="0.25">
      <c r="B37" s="45" t="s">
        <v>13</v>
      </c>
      <c r="C37" s="95" t="s">
        <v>52</v>
      </c>
      <c r="D37" s="96"/>
      <c r="E37" s="96"/>
      <c r="F37" s="96"/>
      <c r="G37" s="97"/>
      <c r="H37">
        <v>85</v>
      </c>
      <c r="I37" s="40">
        <f>+H37/33*28</f>
        <v>72.121212121212125</v>
      </c>
      <c r="J37" s="40">
        <v>125</v>
      </c>
      <c r="K37" s="40"/>
      <c r="L37" s="40">
        <f>35+50</f>
        <v>85</v>
      </c>
      <c r="M37" s="40">
        <f>+I37+J37+K37+L37</f>
        <v>282.12121212121212</v>
      </c>
      <c r="N37" s="40"/>
    </row>
    <row r="38" spans="2:14" ht="15.75" customHeight="1" x14ac:dyDescent="0.25">
      <c r="B38" s="45" t="s">
        <v>14</v>
      </c>
      <c r="C38" s="95" t="s">
        <v>53</v>
      </c>
      <c r="D38" s="96"/>
      <c r="E38" s="96"/>
      <c r="F38" s="96"/>
      <c r="G38" s="97"/>
      <c r="H38">
        <v>96</v>
      </c>
      <c r="I38" s="40">
        <f t="shared" ref="I38:I41" si="8">+H38/33*28</f>
        <v>81.454545454545453</v>
      </c>
      <c r="J38" s="40">
        <v>125</v>
      </c>
      <c r="K38" s="46"/>
      <c r="L38" s="40">
        <f>35+50+35</f>
        <v>120</v>
      </c>
      <c r="M38" s="40">
        <f t="shared" ref="M38:M41" si="9">+I38+J38+K38+L38</f>
        <v>326.45454545454544</v>
      </c>
      <c r="N38" s="40"/>
    </row>
    <row r="39" spans="2:14" ht="15.75" customHeight="1" x14ac:dyDescent="0.25">
      <c r="B39" s="45" t="s">
        <v>15</v>
      </c>
      <c r="C39" s="95" t="s">
        <v>54</v>
      </c>
      <c r="D39" s="96"/>
      <c r="E39" s="96"/>
      <c r="F39" s="96"/>
      <c r="G39" s="97"/>
      <c r="H39">
        <v>88</v>
      </c>
      <c r="I39" s="40">
        <f t="shared" si="8"/>
        <v>74.666666666666657</v>
      </c>
      <c r="J39" s="40">
        <v>125</v>
      </c>
      <c r="K39" s="46"/>
      <c r="L39" s="40">
        <f t="shared" ref="L39:L40" si="10">35+50+35</f>
        <v>120</v>
      </c>
      <c r="M39" s="40">
        <f t="shared" si="9"/>
        <v>319.66666666666663</v>
      </c>
      <c r="N39" s="46"/>
    </row>
    <row r="40" spans="2:14" ht="15.75" customHeight="1" x14ac:dyDescent="0.25">
      <c r="B40" s="45" t="s">
        <v>16</v>
      </c>
      <c r="C40" s="95" t="s">
        <v>55</v>
      </c>
      <c r="D40" s="96"/>
      <c r="E40" s="96"/>
      <c r="F40" s="96"/>
      <c r="G40" s="97"/>
      <c r="H40" s="33">
        <v>91</v>
      </c>
      <c r="I40" s="40">
        <f t="shared" si="8"/>
        <v>77.212121212121218</v>
      </c>
      <c r="J40" s="40">
        <v>125</v>
      </c>
      <c r="K40" s="46"/>
      <c r="L40" s="40">
        <f t="shared" si="10"/>
        <v>120</v>
      </c>
      <c r="M40" s="40">
        <f t="shared" si="9"/>
        <v>322.21212121212125</v>
      </c>
      <c r="N40" s="46"/>
    </row>
    <row r="41" spans="2:14" ht="15.75" customHeight="1" x14ac:dyDescent="0.25">
      <c r="B41" s="45" t="s">
        <v>17</v>
      </c>
      <c r="C41" s="95" t="s">
        <v>177</v>
      </c>
      <c r="D41" s="96"/>
      <c r="E41" s="96"/>
      <c r="F41" s="96"/>
      <c r="G41" s="97"/>
      <c r="H41" s="33">
        <v>120</v>
      </c>
      <c r="I41" s="40">
        <f t="shared" si="8"/>
        <v>101.81818181818181</v>
      </c>
      <c r="J41" s="40"/>
      <c r="K41" s="46"/>
      <c r="L41" s="40">
        <f>35+50</f>
        <v>85</v>
      </c>
      <c r="M41" s="40">
        <f t="shared" si="9"/>
        <v>186.81818181818181</v>
      </c>
      <c r="N41" s="46"/>
    </row>
    <row r="42" spans="2:14" ht="15.75" customHeight="1" x14ac:dyDescent="0.25">
      <c r="B42" s="89"/>
      <c r="C42" s="90"/>
      <c r="D42" s="90"/>
      <c r="E42" s="90"/>
      <c r="F42" s="90"/>
      <c r="G42" s="91"/>
      <c r="H42" s="48">
        <f t="shared" ref="H42:M42" si="11">SUM(H37:H41)</f>
        <v>480</v>
      </c>
      <c r="I42" s="49">
        <f t="shared" si="11"/>
        <v>407.27272727272725</v>
      </c>
      <c r="J42" s="49">
        <f t="shared" si="11"/>
        <v>500</v>
      </c>
      <c r="K42" s="49">
        <f t="shared" si="11"/>
        <v>0</v>
      </c>
      <c r="L42" s="49">
        <f t="shared" si="11"/>
        <v>530</v>
      </c>
      <c r="M42" s="49">
        <f t="shared" si="11"/>
        <v>1437.2727272727273</v>
      </c>
      <c r="N42" s="40"/>
    </row>
    <row r="43" spans="2:14" ht="15.75" customHeight="1" x14ac:dyDescent="0.25">
      <c r="B43" s="92"/>
      <c r="C43" s="93"/>
      <c r="D43" s="93"/>
      <c r="E43" s="93"/>
      <c r="F43" s="93"/>
      <c r="G43" s="94"/>
      <c r="M43" s="46"/>
      <c r="N43" s="40"/>
    </row>
    <row r="44" spans="2:14" ht="15.75" customHeight="1" thickBot="1" x14ac:dyDescent="0.3">
      <c r="H44" s="98"/>
      <c r="I44" s="99"/>
      <c r="J44" s="99"/>
      <c r="K44" s="99"/>
      <c r="L44" s="99"/>
      <c r="M44" s="99"/>
    </row>
    <row r="45" spans="2:14" ht="15.75" customHeight="1" thickBot="1" x14ac:dyDescent="0.3">
      <c r="B45" s="100" t="s">
        <v>95</v>
      </c>
      <c r="C45" s="101"/>
      <c r="D45" s="101"/>
      <c r="E45" s="101"/>
      <c r="F45" s="101"/>
      <c r="G45" s="102"/>
      <c r="H45" s="103" t="s">
        <v>6</v>
      </c>
      <c r="I45" s="104"/>
      <c r="J45" s="105"/>
      <c r="K45">
        <v>700</v>
      </c>
      <c r="L45">
        <f>+K45/33</f>
        <v>21.212121212121211</v>
      </c>
      <c r="M45" s="40">
        <f>+L45*28</f>
        <v>593.93939393939388</v>
      </c>
      <c r="N45" s="58">
        <v>1485</v>
      </c>
    </row>
    <row r="46" spans="2:14" ht="15.75" customHeight="1" thickBot="1" x14ac:dyDescent="0.3">
      <c r="B46" s="109"/>
      <c r="C46" s="110"/>
      <c r="D46" s="110"/>
      <c r="E46" s="110"/>
      <c r="F46" s="110"/>
      <c r="G46" s="111"/>
      <c r="H46" s="52" t="s">
        <v>7</v>
      </c>
      <c r="I46" s="52" t="s">
        <v>8</v>
      </c>
      <c r="J46" s="52" t="s">
        <v>9</v>
      </c>
      <c r="K46" s="52" t="s">
        <v>38</v>
      </c>
      <c r="L46" s="52" t="s">
        <v>11</v>
      </c>
      <c r="M46" s="55" t="s">
        <v>12</v>
      </c>
      <c r="N46" s="46"/>
    </row>
    <row r="47" spans="2:14" ht="15.75" customHeight="1" x14ac:dyDescent="0.25">
      <c r="B47" s="45" t="s">
        <v>13</v>
      </c>
      <c r="C47" s="95" t="s">
        <v>41</v>
      </c>
      <c r="D47" s="96"/>
      <c r="E47" s="96"/>
      <c r="F47" s="96"/>
      <c r="G47" s="97"/>
      <c r="H47">
        <v>145</v>
      </c>
      <c r="I47" s="40">
        <f>+H47/33*28</f>
        <v>123.03030303030302</v>
      </c>
      <c r="J47" s="40">
        <v>125</v>
      </c>
      <c r="K47" s="40"/>
      <c r="L47" s="40">
        <f>35+50</f>
        <v>85</v>
      </c>
      <c r="M47" s="40">
        <f>+I47+J47+K47+L47</f>
        <v>333.030303030303</v>
      </c>
      <c r="N47" s="40"/>
    </row>
    <row r="48" spans="2:14" ht="13.5" customHeight="1" x14ac:dyDescent="0.25">
      <c r="B48" s="45" t="s">
        <v>14</v>
      </c>
      <c r="C48" s="95" t="s">
        <v>42</v>
      </c>
      <c r="D48" s="96"/>
      <c r="E48" s="96"/>
      <c r="F48" s="96"/>
      <c r="G48" s="97"/>
      <c r="H48">
        <v>130</v>
      </c>
      <c r="I48" s="40">
        <f t="shared" ref="I48:I51" si="12">+H48/33*28</f>
        <v>110.30303030303031</v>
      </c>
      <c r="J48" s="40">
        <v>125</v>
      </c>
      <c r="K48" s="46"/>
      <c r="L48" s="40">
        <f t="shared" ref="L48:L50" si="13">35+50+35</f>
        <v>120</v>
      </c>
      <c r="M48" s="40">
        <f t="shared" ref="M48:M51" si="14">+I48+J48+K48+L48</f>
        <v>355.30303030303031</v>
      </c>
      <c r="N48" s="40"/>
    </row>
    <row r="49" spans="2:14" ht="15.75" customHeight="1" x14ac:dyDescent="0.25">
      <c r="B49" s="45" t="s">
        <v>15</v>
      </c>
      <c r="C49" s="95" t="s">
        <v>43</v>
      </c>
      <c r="D49" s="96"/>
      <c r="E49" s="96"/>
      <c r="F49" s="96"/>
      <c r="G49" s="97"/>
      <c r="H49">
        <v>109</v>
      </c>
      <c r="I49" s="40">
        <f t="shared" si="12"/>
        <v>92.484848484848484</v>
      </c>
      <c r="J49" s="40">
        <v>125</v>
      </c>
      <c r="K49" s="46"/>
      <c r="L49" s="40">
        <f t="shared" si="13"/>
        <v>120</v>
      </c>
      <c r="M49" s="40">
        <f t="shared" si="14"/>
        <v>337.4848484848485</v>
      </c>
      <c r="N49" s="40"/>
    </row>
    <row r="50" spans="2:14" ht="15.75" customHeight="1" x14ac:dyDescent="0.25">
      <c r="B50" s="45" t="s">
        <v>16</v>
      </c>
      <c r="C50" s="95" t="s">
        <v>44</v>
      </c>
      <c r="D50" s="96"/>
      <c r="E50" s="96"/>
      <c r="F50" s="96"/>
      <c r="G50" s="97"/>
      <c r="H50" s="33">
        <v>38</v>
      </c>
      <c r="I50" s="40">
        <f>+H50/33*28</f>
        <v>32.242424242424242</v>
      </c>
      <c r="J50" s="40">
        <v>125</v>
      </c>
      <c r="K50" s="46"/>
      <c r="L50" s="40">
        <f t="shared" si="13"/>
        <v>120</v>
      </c>
      <c r="M50" s="40">
        <f t="shared" si="14"/>
        <v>277.24242424242425</v>
      </c>
      <c r="N50" s="40"/>
    </row>
    <row r="51" spans="2:14" ht="15.75" customHeight="1" x14ac:dyDescent="0.25">
      <c r="B51" s="47" t="s">
        <v>17</v>
      </c>
      <c r="C51" s="95" t="s">
        <v>176</v>
      </c>
      <c r="D51" s="96"/>
      <c r="E51" s="96"/>
      <c r="F51" s="96"/>
      <c r="G51" s="97"/>
      <c r="H51" s="33">
        <v>114</v>
      </c>
      <c r="I51" s="40">
        <f t="shared" si="12"/>
        <v>96.727272727272734</v>
      </c>
      <c r="J51" s="56"/>
      <c r="K51" s="46"/>
      <c r="L51" s="56">
        <f>35+50</f>
        <v>85</v>
      </c>
      <c r="M51" s="40">
        <f t="shared" si="14"/>
        <v>181.72727272727275</v>
      </c>
      <c r="N51" s="40"/>
    </row>
    <row r="52" spans="2:14" ht="15.75" customHeight="1" x14ac:dyDescent="0.25">
      <c r="B52" s="89"/>
      <c r="C52" s="90"/>
      <c r="D52" s="90"/>
      <c r="E52" s="90"/>
      <c r="F52" s="90"/>
      <c r="G52" s="91"/>
      <c r="H52" s="48">
        <f t="shared" ref="H52:M52" si="15">SUM(H47:H51)</f>
        <v>536</v>
      </c>
      <c r="I52" s="49">
        <f t="shared" si="15"/>
        <v>454.78787878787881</v>
      </c>
      <c r="J52" s="49">
        <f t="shared" si="15"/>
        <v>500</v>
      </c>
      <c r="K52" s="49">
        <f t="shared" si="15"/>
        <v>0</v>
      </c>
      <c r="L52" s="49">
        <f t="shared" si="15"/>
        <v>530</v>
      </c>
      <c r="M52" s="49">
        <f t="shared" si="15"/>
        <v>1484.7878787878788</v>
      </c>
      <c r="N52" s="40"/>
    </row>
    <row r="53" spans="2:14" ht="15.75" customHeight="1" x14ac:dyDescent="0.25">
      <c r="B53" s="92"/>
      <c r="C53" s="93"/>
      <c r="D53" s="93"/>
      <c r="E53" s="93"/>
      <c r="F53" s="93"/>
      <c r="G53" s="94"/>
      <c r="M53" s="46"/>
      <c r="N53" s="40"/>
    </row>
    <row r="55" spans="2:14" ht="15" customHeight="1" x14ac:dyDescent="0.25">
      <c r="B55" s="88" t="s">
        <v>165</v>
      </c>
      <c r="C55" s="88" t="s">
        <v>166</v>
      </c>
      <c r="D55" s="37"/>
    </row>
    <row r="56" spans="2:14" ht="15" customHeight="1" x14ac:dyDescent="0.25">
      <c r="C56" s="3" t="s">
        <v>167</v>
      </c>
    </row>
    <row r="57" spans="2:14" ht="15" customHeight="1" x14ac:dyDescent="0.25">
      <c r="C57" s="3" t="s">
        <v>168</v>
      </c>
    </row>
    <row r="58" spans="2:14" ht="15" customHeight="1" x14ac:dyDescent="0.25">
      <c r="C58" s="3" t="s">
        <v>169</v>
      </c>
    </row>
  </sheetData>
  <mergeCells count="47">
    <mergeCell ref="B2:G2"/>
    <mergeCell ref="C3:G3"/>
    <mergeCell ref="C4:G4"/>
    <mergeCell ref="C5:G5"/>
    <mergeCell ref="B6:G7"/>
    <mergeCell ref="B45:G45"/>
    <mergeCell ref="H45:J45"/>
    <mergeCell ref="B46:G46"/>
    <mergeCell ref="H6:N6"/>
    <mergeCell ref="H7:N7"/>
    <mergeCell ref="C22:G22"/>
    <mergeCell ref="C12:G12"/>
    <mergeCell ref="C23:G23"/>
    <mergeCell ref="C13:G13"/>
    <mergeCell ref="C14:G14"/>
    <mergeCell ref="C16:G16"/>
    <mergeCell ref="B17:G18"/>
    <mergeCell ref="C25:G25"/>
    <mergeCell ref="C26:G26"/>
    <mergeCell ref="B27:G28"/>
    <mergeCell ref="H9:M9"/>
    <mergeCell ref="B10:G10"/>
    <mergeCell ref="H10:J10"/>
    <mergeCell ref="B11:G11"/>
    <mergeCell ref="C15:G15"/>
    <mergeCell ref="H19:M19"/>
    <mergeCell ref="B20:G20"/>
    <mergeCell ref="H20:J20"/>
    <mergeCell ref="B21:G21"/>
    <mergeCell ref="C24:G24"/>
    <mergeCell ref="H34:M34"/>
    <mergeCell ref="B35:G35"/>
    <mergeCell ref="H35:J35"/>
    <mergeCell ref="B36:G36"/>
    <mergeCell ref="C37:G37"/>
    <mergeCell ref="C38:G38"/>
    <mergeCell ref="C39:G39"/>
    <mergeCell ref="C40:G40"/>
    <mergeCell ref="B42:G43"/>
    <mergeCell ref="H44:M44"/>
    <mergeCell ref="C41:G41"/>
    <mergeCell ref="B52:G53"/>
    <mergeCell ref="C47:G47"/>
    <mergeCell ref="C48:G48"/>
    <mergeCell ref="C49:G49"/>
    <mergeCell ref="C50:G50"/>
    <mergeCell ref="C51:G51"/>
  </mergeCells>
  <pageMargins left="0.25" right="0.25" top="0.75" bottom="0.75" header="0" footer="0"/>
  <pageSetup scale="75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100"/>
  <sheetViews>
    <sheetView workbookViewId="0">
      <selection activeCell="E21" sqref="E21"/>
    </sheetView>
  </sheetViews>
  <sheetFormatPr baseColWidth="10" defaultColWidth="14.42578125" defaultRowHeight="15" customHeight="1" x14ac:dyDescent="0.25"/>
  <cols>
    <col min="1" max="1" width="4.7109375" customWidth="1"/>
    <col min="2" max="2" width="25.140625" customWidth="1"/>
    <col min="3" max="6" width="19.7109375" customWidth="1"/>
    <col min="7" max="7" width="7.7109375" customWidth="1"/>
    <col min="8" max="11" width="9.140625" customWidth="1"/>
  </cols>
  <sheetData>
    <row r="1" spans="1:11" x14ac:dyDescent="0.25">
      <c r="A1" s="14"/>
      <c r="B1" s="14"/>
      <c r="C1" s="14"/>
      <c r="D1" s="15"/>
      <c r="E1" s="15"/>
      <c r="F1" s="14"/>
      <c r="G1" s="14"/>
    </row>
    <row r="2" spans="1:11" x14ac:dyDescent="0.25">
      <c r="A2" s="14"/>
      <c r="B2" s="14"/>
      <c r="C2" s="14"/>
      <c r="D2" s="15"/>
      <c r="E2" s="15"/>
      <c r="F2" s="14"/>
      <c r="G2" s="14"/>
    </row>
    <row r="3" spans="1:11" ht="15.75" x14ac:dyDescent="0.25">
      <c r="A3" s="14"/>
      <c r="B3" s="16"/>
      <c r="C3" s="17" t="s">
        <v>5</v>
      </c>
      <c r="D3" s="17" t="s">
        <v>18</v>
      </c>
      <c r="E3" s="17" t="s">
        <v>29</v>
      </c>
      <c r="F3" s="17" t="s">
        <v>61</v>
      </c>
      <c r="G3" s="18"/>
    </row>
    <row r="4" spans="1:11" ht="15.75" x14ac:dyDescent="0.25">
      <c r="A4" s="14"/>
      <c r="B4" s="19" t="s">
        <v>164</v>
      </c>
      <c r="C4" s="19">
        <f>+Ruta13!N10</f>
        <v>1325</v>
      </c>
      <c r="D4" s="19">
        <f>+Ruta13!N20</f>
        <v>1579</v>
      </c>
      <c r="E4" s="19">
        <f>+Ruta13!N35</f>
        <v>1473</v>
      </c>
      <c r="F4" s="19">
        <f>+Ruta13!N45</f>
        <v>1485</v>
      </c>
      <c r="G4" s="20"/>
    </row>
    <row r="5" spans="1:11" ht="15.75" x14ac:dyDescent="0.25">
      <c r="A5" s="14"/>
      <c r="B5" s="21" t="s">
        <v>163</v>
      </c>
      <c r="C5" s="21">
        <f>+Ruta12!N8</f>
        <v>1230</v>
      </c>
      <c r="D5" s="21">
        <f>+Ruta12!N17</f>
        <v>1330</v>
      </c>
      <c r="E5" s="21">
        <f>+Ruta12!N27</f>
        <v>1280</v>
      </c>
      <c r="F5" s="21">
        <f>+C5</f>
        <v>1230</v>
      </c>
      <c r="G5" s="20"/>
    </row>
    <row r="6" spans="1:11" ht="15.75" x14ac:dyDescent="0.25">
      <c r="A6" s="14"/>
      <c r="B6" s="22" t="s">
        <v>124</v>
      </c>
      <c r="C6" s="22">
        <f>+Ruta10!M14</f>
        <v>338.30303030303025</v>
      </c>
      <c r="D6" s="22">
        <f>+Ruta10!M24</f>
        <v>310.30303030303031</v>
      </c>
      <c r="E6" s="22">
        <f>+Ruta10!M34</f>
        <v>434.12121212121212</v>
      </c>
      <c r="F6" s="22">
        <f>+Ruta10!M44</f>
        <v>723.30303030303037</v>
      </c>
      <c r="G6" s="20"/>
    </row>
    <row r="7" spans="1:11" ht="15.75" x14ac:dyDescent="0.25">
      <c r="A7" s="14"/>
      <c r="B7" s="23" t="s">
        <v>64</v>
      </c>
      <c r="C7" s="23">
        <v>465</v>
      </c>
      <c r="D7" s="23">
        <v>925</v>
      </c>
      <c r="E7" s="23">
        <v>1165</v>
      </c>
      <c r="F7" s="23">
        <v>465</v>
      </c>
      <c r="G7" s="20"/>
      <c r="H7" s="24"/>
      <c r="I7" s="24"/>
      <c r="J7" s="24"/>
      <c r="K7" s="24"/>
    </row>
    <row r="8" spans="1:11" ht="15.75" x14ac:dyDescent="0.25">
      <c r="A8" s="14"/>
      <c r="B8" s="25" t="s">
        <v>4</v>
      </c>
      <c r="C8" s="25">
        <v>0</v>
      </c>
      <c r="D8" s="25">
        <v>0</v>
      </c>
      <c r="E8" s="25">
        <v>0</v>
      </c>
      <c r="F8" s="25">
        <v>0</v>
      </c>
      <c r="G8" s="20"/>
    </row>
    <row r="9" spans="1:11" ht="15.75" x14ac:dyDescent="0.25">
      <c r="A9" s="14"/>
      <c r="B9" s="26"/>
      <c r="C9" s="26">
        <f>SUM(C4:C8)</f>
        <v>3358.30303030303</v>
      </c>
      <c r="D9" s="26">
        <f>SUM(D4:D8)</f>
        <v>4144.30303030303</v>
      </c>
      <c r="E9" s="26">
        <f>SUM(E4:E8)</f>
        <v>4352.121212121212</v>
      </c>
      <c r="F9" s="26">
        <f>SUM(F4:F8)</f>
        <v>3903.3030303030305</v>
      </c>
      <c r="G9" s="27"/>
    </row>
    <row r="10" spans="1:11" ht="15.75" x14ac:dyDescent="0.25">
      <c r="A10" s="14"/>
      <c r="B10" s="28"/>
      <c r="C10" s="28"/>
      <c r="D10" s="28"/>
      <c r="E10" s="28"/>
      <c r="F10" s="28"/>
      <c r="G10" s="20"/>
    </row>
    <row r="11" spans="1:11" ht="15.75" x14ac:dyDescent="0.25">
      <c r="A11" s="14"/>
      <c r="B11" s="29" t="s">
        <v>35</v>
      </c>
      <c r="C11" s="30">
        <f>8000-C9</f>
        <v>4641.69696969697</v>
      </c>
      <c r="D11" s="30">
        <f>8000-D9</f>
        <v>3855.69696969697</v>
      </c>
      <c r="E11" s="30">
        <f>8000-E9</f>
        <v>3647.878787878788</v>
      </c>
      <c r="F11" s="30">
        <f>8000-F9</f>
        <v>4096.69696969697</v>
      </c>
      <c r="G11" s="31"/>
    </row>
    <row r="12" spans="1:11" x14ac:dyDescent="0.25">
      <c r="A12" s="14"/>
      <c r="B12" s="14"/>
      <c r="C12" s="14"/>
      <c r="D12" s="15"/>
      <c r="E12" s="15"/>
      <c r="F12" s="14"/>
      <c r="G12" s="14"/>
    </row>
    <row r="13" spans="1:11" x14ac:dyDescent="0.25">
      <c r="A13" s="14"/>
      <c r="B13" s="14"/>
      <c r="C13" s="14"/>
      <c r="D13" s="15"/>
      <c r="E13" s="15"/>
      <c r="F13" s="14"/>
      <c r="G13" s="14"/>
    </row>
    <row r="14" spans="1:11" x14ac:dyDescent="0.25">
      <c r="A14" s="14"/>
      <c r="B14" s="14"/>
      <c r="C14" s="14"/>
      <c r="D14" s="15"/>
      <c r="E14" s="15"/>
      <c r="F14" s="14"/>
      <c r="G14" s="14"/>
    </row>
    <row r="18" spans="5:5" x14ac:dyDescent="0.25">
      <c r="E18" s="32"/>
    </row>
    <row r="21" spans="5:5" ht="15.75" customHeight="1" x14ac:dyDescent="0.25"/>
    <row r="22" spans="5:5" ht="15.75" customHeight="1" x14ac:dyDescent="0.25"/>
    <row r="23" spans="5:5" ht="15.75" customHeight="1" x14ac:dyDescent="0.25"/>
    <row r="24" spans="5:5" ht="15.75" customHeight="1" x14ac:dyDescent="0.25"/>
    <row r="25" spans="5:5" ht="15.75" customHeight="1" x14ac:dyDescent="0.25"/>
    <row r="26" spans="5:5" ht="15.75" customHeight="1" x14ac:dyDescent="0.25"/>
    <row r="27" spans="5:5" ht="15.75" customHeight="1" x14ac:dyDescent="0.25"/>
    <row r="28" spans="5:5" ht="15.75" customHeight="1" x14ac:dyDescent="0.25"/>
    <row r="29" spans="5:5" ht="15.75" customHeight="1" x14ac:dyDescent="0.25"/>
    <row r="30" spans="5:5" ht="15.75" customHeight="1" x14ac:dyDescent="0.25"/>
    <row r="31" spans="5:5" ht="15.75" customHeight="1" x14ac:dyDescent="0.25"/>
    <row r="32" spans="5:5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</sheetData>
  <pageMargins left="0.7" right="0.7" top="0.75" bottom="0.75" header="0" footer="0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N27"/>
  <sheetViews>
    <sheetView topLeftCell="A5" workbookViewId="0">
      <selection activeCell="I5" sqref="I5"/>
    </sheetView>
  </sheetViews>
  <sheetFormatPr baseColWidth="10" defaultRowHeight="15" x14ac:dyDescent="0.25"/>
  <cols>
    <col min="1" max="1" width="3.85546875" customWidth="1"/>
  </cols>
  <sheetData>
    <row r="2" spans="1:14" ht="33.75" x14ac:dyDescent="0.5">
      <c r="B2" s="170" t="s">
        <v>0</v>
      </c>
      <c r="C2" s="148"/>
      <c r="D2" s="148"/>
      <c r="E2" s="148"/>
      <c r="F2" s="148"/>
      <c r="G2" s="149"/>
      <c r="H2" t="s">
        <v>36</v>
      </c>
      <c r="M2" s="1"/>
      <c r="N2" s="1"/>
    </row>
    <row r="3" spans="1:14" x14ac:dyDescent="0.25">
      <c r="B3" s="2" t="s">
        <v>1</v>
      </c>
      <c r="C3" s="147" t="s">
        <v>63</v>
      </c>
      <c r="D3" s="148"/>
      <c r="E3" s="148"/>
      <c r="F3" s="148"/>
      <c r="G3" s="149"/>
      <c r="M3" s="1"/>
      <c r="N3" s="1"/>
    </row>
    <row r="4" spans="1:14" x14ac:dyDescent="0.25">
      <c r="B4" s="2" t="s">
        <v>2</v>
      </c>
      <c r="C4" s="147" t="s">
        <v>37</v>
      </c>
      <c r="D4" s="148"/>
      <c r="E4" s="148"/>
      <c r="F4" s="148"/>
      <c r="G4" s="149"/>
      <c r="M4" s="1"/>
      <c r="N4" s="1"/>
    </row>
    <row r="5" spans="1:14" x14ac:dyDescent="0.25">
      <c r="B5" s="2" t="s">
        <v>4</v>
      </c>
      <c r="C5" s="147" t="s">
        <v>64</v>
      </c>
      <c r="D5" s="148"/>
      <c r="E5" s="148"/>
      <c r="F5" s="148"/>
      <c r="G5" s="149"/>
      <c r="M5" s="1"/>
      <c r="N5" s="1"/>
    </row>
    <row r="6" spans="1:14" x14ac:dyDescent="0.25">
      <c r="B6" s="150"/>
      <c r="C6" s="151"/>
      <c r="D6" s="151"/>
      <c r="E6" s="151"/>
      <c r="F6" s="151"/>
      <c r="G6" s="152"/>
      <c r="M6" s="1"/>
      <c r="N6" s="1"/>
    </row>
    <row r="7" spans="1:14" x14ac:dyDescent="0.25">
      <c r="B7" s="153"/>
      <c r="C7" s="154"/>
      <c r="D7" s="154"/>
      <c r="E7" s="154"/>
      <c r="F7" s="154"/>
      <c r="G7" s="155"/>
      <c r="M7" s="1"/>
      <c r="N7" s="1"/>
    </row>
    <row r="8" spans="1:14" ht="15.75" thickBot="1" x14ac:dyDescent="0.3">
      <c r="B8" s="158" t="s">
        <v>5</v>
      </c>
      <c r="C8" s="148"/>
      <c r="D8" s="148"/>
      <c r="E8" s="148"/>
      <c r="F8" s="148"/>
      <c r="G8" s="149"/>
      <c r="H8" t="s">
        <v>6</v>
      </c>
      <c r="K8" s="34">
        <f>+H15</f>
        <v>190</v>
      </c>
      <c r="L8">
        <f>+K8/33</f>
        <v>5.7575757575757578</v>
      </c>
      <c r="M8" s="1">
        <f>+L8*28</f>
        <v>161.21212121212122</v>
      </c>
      <c r="N8" s="1"/>
    </row>
    <row r="9" spans="1:14" ht="15.75" thickBot="1" x14ac:dyDescent="0.3">
      <c r="B9" s="156"/>
      <c r="C9" s="148"/>
      <c r="D9" s="148"/>
      <c r="E9" s="148"/>
      <c r="F9" s="148"/>
      <c r="G9" s="157"/>
      <c r="H9" s="5" t="s">
        <v>7</v>
      </c>
      <c r="I9" s="5" t="s">
        <v>8</v>
      </c>
      <c r="J9" s="5" t="s">
        <v>9</v>
      </c>
      <c r="K9" s="5" t="s">
        <v>38</v>
      </c>
      <c r="L9" s="5" t="s">
        <v>11</v>
      </c>
      <c r="M9" s="5" t="s">
        <v>12</v>
      </c>
      <c r="N9" s="36">
        <v>950</v>
      </c>
    </row>
    <row r="10" spans="1:14" x14ac:dyDescent="0.25">
      <c r="B10" s="6" t="s">
        <v>13</v>
      </c>
      <c r="C10" s="175" t="s">
        <v>96</v>
      </c>
      <c r="D10" s="176"/>
      <c r="E10" s="176"/>
      <c r="F10" s="176"/>
      <c r="G10" s="177"/>
      <c r="H10" s="12">
        <f>95*2</f>
        <v>190</v>
      </c>
      <c r="I10" s="1">
        <f>+H10/33*28</f>
        <v>161.21212121212122</v>
      </c>
      <c r="J10" s="1">
        <v>100</v>
      </c>
      <c r="K10" s="1"/>
      <c r="L10" s="1">
        <v>55</v>
      </c>
      <c r="M10" s="1">
        <f>+I10+J10+K10+L10</f>
        <v>316.21212121212125</v>
      </c>
      <c r="N10" s="1"/>
    </row>
    <row r="11" spans="1:14" x14ac:dyDescent="0.25">
      <c r="B11" s="6" t="s">
        <v>14</v>
      </c>
      <c r="C11" s="147"/>
      <c r="D11" s="148"/>
      <c r="E11" s="148"/>
      <c r="F11" s="148"/>
      <c r="G11" s="149"/>
      <c r="I11" s="1">
        <f t="shared" ref="I11:I14" si="0">+H11/33*28</f>
        <v>0</v>
      </c>
      <c r="J11" s="1">
        <v>100</v>
      </c>
      <c r="K11" s="1"/>
      <c r="L11" s="1">
        <v>80</v>
      </c>
      <c r="M11" s="1">
        <f>+I11+J11+K11+L11</f>
        <v>180</v>
      </c>
      <c r="N11" s="1"/>
    </row>
    <row r="12" spans="1:14" x14ac:dyDescent="0.25">
      <c r="B12" s="6" t="s">
        <v>15</v>
      </c>
      <c r="C12" s="147"/>
      <c r="D12" s="148"/>
      <c r="E12" s="148"/>
      <c r="F12" s="148"/>
      <c r="G12" s="149"/>
      <c r="I12" s="1">
        <f t="shared" si="0"/>
        <v>0</v>
      </c>
      <c r="J12" s="1">
        <v>100</v>
      </c>
      <c r="K12" s="1"/>
      <c r="L12" s="1">
        <v>80</v>
      </c>
      <c r="M12" s="1">
        <f>+I12+J12+K12+L12</f>
        <v>180</v>
      </c>
      <c r="N12" s="1"/>
    </row>
    <row r="13" spans="1:14" x14ac:dyDescent="0.25">
      <c r="B13" s="6" t="s">
        <v>16</v>
      </c>
      <c r="C13" s="147"/>
      <c r="D13" s="148"/>
      <c r="E13" s="148"/>
      <c r="F13" s="148"/>
      <c r="G13" s="149"/>
      <c r="I13" s="1">
        <f t="shared" si="0"/>
        <v>0</v>
      </c>
      <c r="J13" s="1">
        <v>100</v>
      </c>
      <c r="K13" s="1"/>
      <c r="L13" s="1">
        <v>80</v>
      </c>
      <c r="M13" s="1">
        <f>+I13+J13+K13+L13</f>
        <v>180</v>
      </c>
      <c r="N13" s="1"/>
    </row>
    <row r="14" spans="1:14" x14ac:dyDescent="0.25">
      <c r="B14" s="6" t="s">
        <v>17</v>
      </c>
      <c r="C14" s="147"/>
      <c r="D14" s="148"/>
      <c r="E14" s="148"/>
      <c r="F14" s="148"/>
      <c r="G14" s="149"/>
      <c r="H14" s="33"/>
      <c r="I14" s="1">
        <f t="shared" si="0"/>
        <v>0</v>
      </c>
      <c r="J14" s="1"/>
      <c r="K14" s="1"/>
      <c r="L14" s="1">
        <v>55</v>
      </c>
      <c r="M14" s="1">
        <f>+I14+J14+K14+L14</f>
        <v>55</v>
      </c>
      <c r="N14" s="1"/>
    </row>
    <row r="15" spans="1:14" x14ac:dyDescent="0.25">
      <c r="B15" s="164"/>
      <c r="C15" s="151"/>
      <c r="D15" s="151"/>
      <c r="E15" s="151"/>
      <c r="F15" s="151"/>
      <c r="G15" s="152"/>
      <c r="H15" s="7">
        <f t="shared" ref="H15:L15" si="1">SUM(H10:H14)</f>
        <v>190</v>
      </c>
      <c r="I15" s="8">
        <f t="shared" si="1"/>
        <v>161.21212121212122</v>
      </c>
      <c r="J15" s="8">
        <f t="shared" si="1"/>
        <v>400</v>
      </c>
      <c r="K15" s="8">
        <f t="shared" si="1"/>
        <v>0</v>
      </c>
      <c r="L15" s="8">
        <f t="shared" si="1"/>
        <v>350</v>
      </c>
      <c r="M15" s="8">
        <f>SUM(M10:M14)</f>
        <v>911.21212121212125</v>
      </c>
      <c r="N15" s="1"/>
    </row>
    <row r="16" spans="1:14" x14ac:dyDescent="0.25">
      <c r="A16" s="33"/>
      <c r="B16" s="136"/>
      <c r="C16" s="137"/>
      <c r="D16" s="137"/>
      <c r="E16" s="137"/>
      <c r="F16" s="137"/>
      <c r="G16" s="138"/>
      <c r="H16" s="33"/>
      <c r="I16" s="33"/>
      <c r="M16" s="1"/>
      <c r="N16" s="1"/>
    </row>
    <row r="18" spans="2:14" ht="15.75" thickBot="1" x14ac:dyDescent="0.3">
      <c r="B18" s="187" t="s">
        <v>99</v>
      </c>
      <c r="C18" s="188"/>
      <c r="D18" s="188"/>
      <c r="E18" s="188"/>
      <c r="F18" s="188"/>
      <c r="G18" s="188"/>
      <c r="H18" s="188"/>
      <c r="I18" s="188"/>
      <c r="J18" s="188"/>
      <c r="K18" s="188"/>
      <c r="L18" s="188"/>
      <c r="M18" s="188"/>
    </row>
    <row r="19" spans="2:14" ht="15.75" thickBot="1" x14ac:dyDescent="0.3">
      <c r="B19" s="100" t="s">
        <v>94</v>
      </c>
      <c r="C19" s="101"/>
      <c r="D19" s="101"/>
      <c r="E19" s="101"/>
      <c r="F19" s="101"/>
      <c r="G19" s="102"/>
      <c r="H19" s="103" t="s">
        <v>6</v>
      </c>
      <c r="I19" s="104"/>
      <c r="J19" s="105"/>
      <c r="K19">
        <v>680</v>
      </c>
      <c r="L19">
        <f>+K19/33</f>
        <v>20.606060606060606</v>
      </c>
      <c r="M19" s="40">
        <f>+L19*28</f>
        <v>576.969696969697</v>
      </c>
      <c r="N19" s="64">
        <v>1100</v>
      </c>
    </row>
    <row r="20" spans="2:14" ht="15.75" thickBot="1" x14ac:dyDescent="0.3">
      <c r="B20" s="106"/>
      <c r="C20" s="107"/>
      <c r="D20" s="107"/>
      <c r="E20" s="107"/>
      <c r="F20" s="107"/>
      <c r="G20" s="108"/>
      <c r="H20" s="42" t="s">
        <v>7</v>
      </c>
      <c r="I20" s="43" t="s">
        <v>8</v>
      </c>
      <c r="J20" s="43" t="s">
        <v>9</v>
      </c>
      <c r="K20" s="43" t="s">
        <v>10</v>
      </c>
      <c r="L20" s="43" t="s">
        <v>11</v>
      </c>
      <c r="M20" s="44" t="s">
        <v>12</v>
      </c>
      <c r="N20" s="62"/>
    </row>
    <row r="21" spans="2:14" x14ac:dyDescent="0.25">
      <c r="B21" s="45" t="s">
        <v>17</v>
      </c>
      <c r="C21" s="95" t="s">
        <v>100</v>
      </c>
      <c r="D21" s="96"/>
      <c r="E21" s="96"/>
      <c r="F21" s="96"/>
      <c r="G21" s="97"/>
      <c r="I21" s="40">
        <f>+H21/33*28</f>
        <v>0</v>
      </c>
      <c r="J21" s="40"/>
      <c r="K21" s="40"/>
      <c r="L21" s="40"/>
      <c r="M21" s="40">
        <f>+I21+J21+K21+L21</f>
        <v>0</v>
      </c>
      <c r="N21" s="62"/>
    </row>
    <row r="22" spans="2:14" x14ac:dyDescent="0.25">
      <c r="B22" s="45"/>
      <c r="C22" s="95"/>
      <c r="D22" s="96"/>
      <c r="E22" s="96"/>
      <c r="F22" s="96"/>
      <c r="G22" s="97"/>
      <c r="I22" s="40">
        <f t="shared" ref="I22:I25" si="2">+H22/33*28</f>
        <v>0</v>
      </c>
      <c r="J22" s="40"/>
      <c r="K22" s="46"/>
      <c r="L22" s="40"/>
      <c r="M22" s="40">
        <f t="shared" ref="M22:M25" si="3">+I22+J22+K22+L22</f>
        <v>0</v>
      </c>
      <c r="N22" s="62"/>
    </row>
    <row r="23" spans="2:14" x14ac:dyDescent="0.25">
      <c r="B23" s="45"/>
      <c r="C23" s="95"/>
      <c r="D23" s="96"/>
      <c r="E23" s="96"/>
      <c r="F23" s="96"/>
      <c r="G23" s="97"/>
      <c r="I23" s="40">
        <f t="shared" si="2"/>
        <v>0</v>
      </c>
      <c r="J23" s="40"/>
      <c r="K23" s="46"/>
      <c r="L23" s="40"/>
      <c r="M23" s="40">
        <f t="shared" si="3"/>
        <v>0</v>
      </c>
      <c r="N23" s="62"/>
    </row>
    <row r="24" spans="2:14" x14ac:dyDescent="0.25">
      <c r="B24" s="45"/>
      <c r="C24" s="95"/>
      <c r="D24" s="96"/>
      <c r="E24" s="96"/>
      <c r="F24" s="96"/>
      <c r="G24" s="97"/>
      <c r="H24" s="33"/>
      <c r="I24" s="40">
        <f t="shared" si="2"/>
        <v>0</v>
      </c>
      <c r="J24" s="40"/>
      <c r="K24" s="46"/>
      <c r="L24" s="40"/>
      <c r="M24" s="40">
        <f t="shared" si="3"/>
        <v>0</v>
      </c>
      <c r="N24" s="62"/>
    </row>
    <row r="25" spans="2:14" x14ac:dyDescent="0.25">
      <c r="B25" s="47"/>
      <c r="C25" s="95"/>
      <c r="D25" s="96"/>
      <c r="E25" s="96"/>
      <c r="F25" s="96"/>
      <c r="G25" s="97"/>
      <c r="H25" s="33"/>
      <c r="I25" s="40">
        <f t="shared" si="2"/>
        <v>0</v>
      </c>
      <c r="J25" s="40"/>
      <c r="K25" s="46"/>
      <c r="L25" s="40"/>
      <c r="M25" s="40">
        <f t="shared" si="3"/>
        <v>0</v>
      </c>
      <c r="N25" s="62"/>
    </row>
    <row r="26" spans="2:14" x14ac:dyDescent="0.25">
      <c r="B26" s="89"/>
      <c r="C26" s="90"/>
      <c r="D26" s="90"/>
      <c r="E26" s="90"/>
      <c r="F26" s="90"/>
      <c r="G26" s="91"/>
      <c r="H26" s="48">
        <f t="shared" ref="H26:M26" si="4">SUM(H21:H25)</f>
        <v>0</v>
      </c>
      <c r="I26" s="49">
        <f t="shared" si="4"/>
        <v>0</v>
      </c>
      <c r="J26" s="49">
        <f t="shared" si="4"/>
        <v>0</v>
      </c>
      <c r="K26" s="49">
        <f t="shared" si="4"/>
        <v>0</v>
      </c>
      <c r="L26" s="49">
        <f t="shared" si="4"/>
        <v>0</v>
      </c>
      <c r="M26" s="49">
        <f t="shared" si="4"/>
        <v>0</v>
      </c>
      <c r="N26" s="62"/>
    </row>
    <row r="27" spans="2:14" x14ac:dyDescent="0.25">
      <c r="B27" s="92"/>
      <c r="C27" s="93"/>
      <c r="D27" s="93"/>
      <c r="E27" s="93"/>
      <c r="F27" s="93"/>
      <c r="G27" s="94"/>
      <c r="M27" s="46"/>
      <c r="N27" s="63"/>
    </row>
  </sheetData>
  <mergeCells count="23">
    <mergeCell ref="C24:G24"/>
    <mergeCell ref="C25:G25"/>
    <mergeCell ref="B26:G27"/>
    <mergeCell ref="H19:J19"/>
    <mergeCell ref="B18:M18"/>
    <mergeCell ref="B19:G19"/>
    <mergeCell ref="B20:G20"/>
    <mergeCell ref="C21:G21"/>
    <mergeCell ref="C22:G22"/>
    <mergeCell ref="C23:G23"/>
    <mergeCell ref="B8:G8"/>
    <mergeCell ref="B2:G2"/>
    <mergeCell ref="C3:G3"/>
    <mergeCell ref="C4:G4"/>
    <mergeCell ref="C5:G5"/>
    <mergeCell ref="B6:G7"/>
    <mergeCell ref="B15:G16"/>
    <mergeCell ref="B9:G9"/>
    <mergeCell ref="C10:G10"/>
    <mergeCell ref="C11:G11"/>
    <mergeCell ref="C12:G12"/>
    <mergeCell ref="C13:G13"/>
    <mergeCell ref="C14:G14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M57"/>
  <sheetViews>
    <sheetView topLeftCell="A12" workbookViewId="0">
      <selection activeCell="I63" sqref="I63"/>
    </sheetView>
  </sheetViews>
  <sheetFormatPr baseColWidth="10" defaultRowHeight="15" x14ac:dyDescent="0.25"/>
  <cols>
    <col min="13" max="13" width="15" hidden="1" customWidth="1"/>
  </cols>
  <sheetData>
    <row r="2" spans="1:13" x14ac:dyDescent="0.25">
      <c r="A2" s="188"/>
      <c r="B2" s="188"/>
      <c r="C2" s="188"/>
      <c r="D2" s="188"/>
      <c r="E2" s="188"/>
      <c r="F2" s="188"/>
      <c r="G2" s="188"/>
      <c r="H2" s="188"/>
      <c r="I2" s="188"/>
      <c r="J2" s="188"/>
      <c r="K2" s="188"/>
      <c r="L2" s="188"/>
    </row>
    <row r="3" spans="1:13" ht="15.75" thickBot="1" x14ac:dyDescent="0.3">
      <c r="A3" s="189" t="s">
        <v>93</v>
      </c>
      <c r="B3" s="189"/>
      <c r="C3" s="189"/>
      <c r="D3" s="189"/>
      <c r="E3" s="189"/>
      <c r="F3" s="189"/>
      <c r="G3" s="189"/>
      <c r="H3" s="189"/>
      <c r="I3" s="189"/>
      <c r="J3" s="189"/>
      <c r="K3" s="189"/>
      <c r="L3" s="189"/>
    </row>
    <row r="4" spans="1:13" ht="15.75" thickBot="1" x14ac:dyDescent="0.3">
      <c r="A4" s="100" t="s">
        <v>95</v>
      </c>
      <c r="B4" s="101"/>
      <c r="C4" s="101"/>
      <c r="D4" s="101"/>
      <c r="E4" s="101"/>
      <c r="F4" s="102"/>
      <c r="G4" s="103" t="s">
        <v>6</v>
      </c>
      <c r="H4" s="104"/>
      <c r="I4" s="105"/>
      <c r="J4">
        <v>700</v>
      </c>
      <c r="K4">
        <f>+J4/33</f>
        <v>21.212121212121211</v>
      </c>
      <c r="L4" s="40">
        <f>+K4*28</f>
        <v>593.93939393939388</v>
      </c>
      <c r="M4" s="58">
        <v>930</v>
      </c>
    </row>
    <row r="5" spans="1:13" ht="15.75" thickBot="1" x14ac:dyDescent="0.3">
      <c r="A5" s="109"/>
      <c r="B5" s="110"/>
      <c r="C5" s="110"/>
      <c r="D5" s="110"/>
      <c r="E5" s="110"/>
      <c r="F5" s="111"/>
      <c r="G5" s="52" t="s">
        <v>7</v>
      </c>
      <c r="H5" s="52" t="s">
        <v>8</v>
      </c>
      <c r="I5" s="52" t="s">
        <v>9</v>
      </c>
      <c r="J5" s="52" t="s">
        <v>38</v>
      </c>
      <c r="K5" s="52" t="s">
        <v>11</v>
      </c>
      <c r="L5" s="55" t="s">
        <v>12</v>
      </c>
      <c r="M5" s="46"/>
    </row>
    <row r="6" spans="1:13" x14ac:dyDescent="0.25">
      <c r="A6" s="45" t="s">
        <v>13</v>
      </c>
      <c r="B6" s="95" t="s">
        <v>41</v>
      </c>
      <c r="C6" s="96"/>
      <c r="D6" s="96"/>
      <c r="E6" s="96"/>
      <c r="F6" s="97"/>
      <c r="G6">
        <v>145</v>
      </c>
      <c r="H6" s="40">
        <f>+G6/33*28</f>
        <v>123.03030303030302</v>
      </c>
      <c r="I6" s="40"/>
      <c r="J6" s="40"/>
      <c r="K6" s="40"/>
      <c r="L6" s="40">
        <f>+H6+I6+J6+K6</f>
        <v>123.03030303030302</v>
      </c>
      <c r="M6" s="40"/>
    </row>
    <row r="7" spans="1:13" x14ac:dyDescent="0.25">
      <c r="A7" s="45" t="s">
        <v>14</v>
      </c>
      <c r="B7" s="95" t="s">
        <v>42</v>
      </c>
      <c r="C7" s="96"/>
      <c r="D7" s="96"/>
      <c r="E7" s="96"/>
      <c r="F7" s="97"/>
      <c r="H7" s="40">
        <f t="shared" ref="H7:H10" si="0">+G7/33*28</f>
        <v>0</v>
      </c>
      <c r="I7" s="46"/>
      <c r="J7" s="46"/>
      <c r="K7" s="46"/>
      <c r="L7" s="40">
        <f t="shared" ref="L7:L10" si="1">+H7+I7+J7+K7</f>
        <v>0</v>
      </c>
      <c r="M7" s="40"/>
    </row>
    <row r="8" spans="1:13" x14ac:dyDescent="0.25">
      <c r="A8" s="45" t="s">
        <v>15</v>
      </c>
      <c r="B8" s="95" t="s">
        <v>43</v>
      </c>
      <c r="C8" s="96"/>
      <c r="D8" s="96"/>
      <c r="E8" s="96"/>
      <c r="F8" s="97"/>
      <c r="G8">
        <v>109</v>
      </c>
      <c r="H8" s="40">
        <f t="shared" si="0"/>
        <v>92.484848484848484</v>
      </c>
      <c r="I8" s="46">
        <v>100</v>
      </c>
      <c r="J8" s="46"/>
      <c r="K8" s="46">
        <v>80</v>
      </c>
      <c r="L8" s="40">
        <f t="shared" si="1"/>
        <v>272.4848484848485</v>
      </c>
      <c r="M8" s="40"/>
    </row>
    <row r="9" spans="1:13" x14ac:dyDescent="0.25">
      <c r="A9" s="45" t="s">
        <v>16</v>
      </c>
      <c r="B9" s="95" t="s">
        <v>44</v>
      </c>
      <c r="C9" s="96"/>
      <c r="D9" s="96"/>
      <c r="E9" s="96"/>
      <c r="F9" s="97"/>
      <c r="G9" s="33">
        <v>38</v>
      </c>
      <c r="H9" s="40">
        <f>+G9/33*28</f>
        <v>32.242424242424242</v>
      </c>
      <c r="I9" s="56">
        <v>100</v>
      </c>
      <c r="J9" s="46"/>
      <c r="K9" s="56">
        <v>80</v>
      </c>
      <c r="L9" s="40">
        <f t="shared" si="1"/>
        <v>212.24242424242425</v>
      </c>
      <c r="M9" s="40"/>
    </row>
    <row r="10" spans="1:13" x14ac:dyDescent="0.25">
      <c r="A10" s="47" t="s">
        <v>17</v>
      </c>
      <c r="B10" s="95" t="s">
        <v>45</v>
      </c>
      <c r="C10" s="96"/>
      <c r="D10" s="96"/>
      <c r="E10" s="96"/>
      <c r="F10" s="97"/>
      <c r="G10" s="33">
        <v>114</v>
      </c>
      <c r="H10" s="40">
        <f t="shared" si="0"/>
        <v>96.727272727272734</v>
      </c>
      <c r="I10" s="56"/>
      <c r="J10" s="46"/>
      <c r="K10" s="56">
        <v>55</v>
      </c>
      <c r="L10" s="40">
        <f t="shared" si="1"/>
        <v>151.72727272727275</v>
      </c>
      <c r="M10" s="40"/>
    </row>
    <row r="11" spans="1:13" x14ac:dyDescent="0.25">
      <c r="A11" s="89"/>
      <c r="B11" s="90"/>
      <c r="C11" s="90"/>
      <c r="D11" s="90"/>
      <c r="E11" s="90"/>
      <c r="F11" s="91"/>
      <c r="G11" s="48">
        <f t="shared" ref="G11:L11" si="2">SUM(G6:G10)</f>
        <v>406</v>
      </c>
      <c r="H11" s="49">
        <f t="shared" si="2"/>
        <v>344.4848484848485</v>
      </c>
      <c r="I11" s="49">
        <f t="shared" si="2"/>
        <v>200</v>
      </c>
      <c r="J11" s="49">
        <f t="shared" si="2"/>
        <v>0</v>
      </c>
      <c r="K11" s="49">
        <f t="shared" si="2"/>
        <v>215</v>
      </c>
      <c r="L11" s="49">
        <f t="shared" si="2"/>
        <v>759.4848484848485</v>
      </c>
      <c r="M11" s="40">
        <f>+L11-200</f>
        <v>559.4848484848485</v>
      </c>
    </row>
    <row r="12" spans="1:13" x14ac:dyDescent="0.25">
      <c r="A12" s="92"/>
      <c r="B12" s="93"/>
      <c r="C12" s="93"/>
      <c r="D12" s="93"/>
      <c r="E12" s="93"/>
      <c r="F12" s="94"/>
      <c r="L12" s="46"/>
      <c r="M12" s="40"/>
    </row>
    <row r="14" spans="1:13" x14ac:dyDescent="0.25">
      <c r="D14" s="3" t="s">
        <v>98</v>
      </c>
    </row>
    <row r="15" spans="1:13" ht="15.75" thickBot="1" x14ac:dyDescent="0.3">
      <c r="A15" s="174" t="s">
        <v>29</v>
      </c>
      <c r="B15" s="148"/>
      <c r="C15" s="148"/>
      <c r="D15" s="148"/>
      <c r="E15" s="148"/>
      <c r="F15" s="149"/>
      <c r="G15" s="3" t="s">
        <v>6</v>
      </c>
      <c r="H15" s="3"/>
      <c r="I15" s="3"/>
      <c r="J15" s="39">
        <f>+G22</f>
        <v>57.9</v>
      </c>
      <c r="K15" s="3">
        <f>+J15/33</f>
        <v>1.7545454545454544</v>
      </c>
      <c r="L15" s="4">
        <f>+K15*28</f>
        <v>49.127272727272725</v>
      </c>
      <c r="M15" s="4">
        <v>140</v>
      </c>
    </row>
    <row r="16" spans="1:13" ht="15.75" thickBot="1" x14ac:dyDescent="0.3">
      <c r="A16" s="156"/>
      <c r="B16" s="148"/>
      <c r="C16" s="148"/>
      <c r="D16" s="148"/>
      <c r="E16" s="148"/>
      <c r="F16" s="157"/>
      <c r="G16" s="5" t="s">
        <v>7</v>
      </c>
      <c r="H16" s="5" t="s">
        <v>8</v>
      </c>
      <c r="I16" s="5" t="s">
        <v>9</v>
      </c>
      <c r="J16" s="5" t="s">
        <v>10</v>
      </c>
      <c r="K16" s="5" t="s">
        <v>11</v>
      </c>
      <c r="L16" s="5" t="s">
        <v>12</v>
      </c>
      <c r="M16" s="4"/>
    </row>
    <row r="17" spans="1:13" x14ac:dyDescent="0.25">
      <c r="A17" s="6" t="s">
        <v>13</v>
      </c>
      <c r="B17" s="147" t="s">
        <v>85</v>
      </c>
      <c r="C17" s="148"/>
      <c r="D17" s="148"/>
      <c r="E17" s="148"/>
      <c r="F17" s="149"/>
      <c r="G17">
        <v>1.5</v>
      </c>
      <c r="H17" s="1">
        <f>+G17/33*28</f>
        <v>1.2727272727272727</v>
      </c>
      <c r="I17" s="1"/>
      <c r="J17" s="1"/>
      <c r="K17" s="1"/>
      <c r="L17" s="1">
        <f t="shared" ref="L17:L21" si="3">+H17+I17+J17+K17</f>
        <v>1.2727272727272727</v>
      </c>
      <c r="M17" s="4"/>
    </row>
    <row r="18" spans="1:13" x14ac:dyDescent="0.25">
      <c r="A18" s="6"/>
      <c r="B18" s="147"/>
      <c r="C18" s="148"/>
      <c r="D18" s="148"/>
      <c r="E18" s="148"/>
      <c r="F18" s="149"/>
      <c r="H18" s="1"/>
      <c r="I18" s="1"/>
      <c r="J18" s="1"/>
      <c r="K18" s="1"/>
      <c r="L18" s="1"/>
      <c r="M18" s="4"/>
    </row>
    <row r="19" spans="1:13" x14ac:dyDescent="0.25">
      <c r="A19" s="6" t="s">
        <v>15</v>
      </c>
      <c r="B19" s="147" t="s">
        <v>86</v>
      </c>
      <c r="C19" s="148"/>
      <c r="D19" s="148"/>
      <c r="E19" s="148"/>
      <c r="F19" s="149"/>
      <c r="G19">
        <v>3</v>
      </c>
      <c r="H19" s="1">
        <f t="shared" ref="H19:H21" si="4">+G19/33*28</f>
        <v>2.5454545454545454</v>
      </c>
      <c r="I19" s="1"/>
      <c r="J19" s="1"/>
      <c r="K19" s="1">
        <v>30</v>
      </c>
      <c r="L19" s="1">
        <f t="shared" si="3"/>
        <v>32.545454545454547</v>
      </c>
      <c r="M19" s="4"/>
    </row>
    <row r="20" spans="1:13" x14ac:dyDescent="0.25">
      <c r="A20" s="6" t="s">
        <v>16</v>
      </c>
      <c r="B20" s="147" t="s">
        <v>87</v>
      </c>
      <c r="C20" s="148"/>
      <c r="D20" s="148"/>
      <c r="E20" s="148"/>
      <c r="F20" s="149"/>
      <c r="G20">
        <f>10.2*2</f>
        <v>20.399999999999999</v>
      </c>
      <c r="H20" s="1">
        <f t="shared" si="4"/>
        <v>17.309090909090909</v>
      </c>
      <c r="I20" s="1"/>
      <c r="J20" s="1"/>
      <c r="K20" s="1">
        <v>30</v>
      </c>
      <c r="L20" s="1">
        <f t="shared" si="3"/>
        <v>47.309090909090912</v>
      </c>
      <c r="M20" s="4"/>
    </row>
    <row r="21" spans="1:13" x14ac:dyDescent="0.25">
      <c r="A21" s="6" t="s">
        <v>17</v>
      </c>
      <c r="B21" s="147" t="s">
        <v>88</v>
      </c>
      <c r="C21" s="148"/>
      <c r="D21" s="148"/>
      <c r="E21" s="148"/>
      <c r="F21" s="149"/>
      <c r="G21">
        <f>16.5*2</f>
        <v>33</v>
      </c>
      <c r="H21" s="1">
        <f t="shared" si="4"/>
        <v>28</v>
      </c>
      <c r="I21" s="1"/>
      <c r="J21" s="1"/>
      <c r="K21" s="1">
        <v>30</v>
      </c>
      <c r="L21" s="1">
        <f t="shared" si="3"/>
        <v>58</v>
      </c>
      <c r="M21" s="4"/>
    </row>
    <row r="22" spans="1:13" x14ac:dyDescent="0.25">
      <c r="A22" s="164"/>
      <c r="B22" s="151"/>
      <c r="C22" s="151"/>
      <c r="D22" s="151"/>
      <c r="E22" s="151"/>
      <c r="F22" s="152"/>
      <c r="G22" s="7">
        <f>SUM(G17:G21)</f>
        <v>57.9</v>
      </c>
      <c r="H22" s="7">
        <f>SUM(H17:H21)</f>
        <v>49.127272727272725</v>
      </c>
      <c r="I22" s="8">
        <f t="shared" ref="I22:J22" si="5">SUM(I17:I21)</f>
        <v>0</v>
      </c>
      <c r="J22" s="8">
        <f t="shared" si="5"/>
        <v>0</v>
      </c>
      <c r="K22" s="8">
        <f>SUM(K17:K21)</f>
        <v>90</v>
      </c>
      <c r="L22" s="8">
        <f>SUM(L17:L21)</f>
        <v>139.12727272727273</v>
      </c>
      <c r="M22" s="4"/>
    </row>
    <row r="23" spans="1:13" x14ac:dyDescent="0.25">
      <c r="A23" s="136"/>
      <c r="B23" s="137"/>
      <c r="C23" s="137"/>
      <c r="D23" s="137"/>
      <c r="E23" s="137"/>
      <c r="F23" s="138"/>
      <c r="G23" s="33"/>
      <c r="H23" s="33"/>
      <c r="I23" s="33"/>
      <c r="J23" s="33"/>
      <c r="K23" s="33"/>
      <c r="L23" s="38"/>
      <c r="M23" s="4"/>
    </row>
    <row r="25" spans="1:13" ht="15.75" thickBot="1" x14ac:dyDescent="0.3">
      <c r="C25" s="3" t="s">
        <v>64</v>
      </c>
    </row>
    <row r="26" spans="1:13" ht="15.75" thickBot="1" x14ac:dyDescent="0.3">
      <c r="A26" s="158" t="s">
        <v>5</v>
      </c>
      <c r="B26" s="148"/>
      <c r="C26" s="148"/>
      <c r="D26" s="148"/>
      <c r="E26" s="148"/>
      <c r="F26" s="157"/>
      <c r="G26" s="144" t="s">
        <v>6</v>
      </c>
      <c r="H26" s="145"/>
      <c r="I26" s="146"/>
      <c r="J26" s="3">
        <f>50+70+90+90+90+200</f>
        <v>590</v>
      </c>
      <c r="K26" s="3">
        <f>+J26/33</f>
        <v>17.878787878787879</v>
      </c>
      <c r="L26" s="4">
        <f>+K26*28</f>
        <v>500.60606060606062</v>
      </c>
      <c r="M26" s="4">
        <v>465</v>
      </c>
    </row>
    <row r="27" spans="1:13" ht="15.75" thickBot="1" x14ac:dyDescent="0.3">
      <c r="A27" s="156"/>
      <c r="B27" s="148"/>
      <c r="C27" s="148"/>
      <c r="D27" s="148"/>
      <c r="E27" s="148"/>
      <c r="F27" s="157"/>
      <c r="G27" s="5" t="s">
        <v>7</v>
      </c>
      <c r="H27" s="5" t="s">
        <v>8</v>
      </c>
      <c r="I27" s="5" t="s">
        <v>9</v>
      </c>
      <c r="J27" s="5" t="s">
        <v>10</v>
      </c>
      <c r="K27" s="5" t="s">
        <v>11</v>
      </c>
      <c r="L27" s="9" t="s">
        <v>12</v>
      </c>
      <c r="M27" s="1"/>
    </row>
    <row r="28" spans="1:13" x14ac:dyDescent="0.25">
      <c r="A28" s="6" t="s">
        <v>13</v>
      </c>
      <c r="B28" s="147" t="s">
        <v>21</v>
      </c>
      <c r="C28" s="148"/>
      <c r="D28" s="148"/>
      <c r="E28" s="148"/>
      <c r="F28" s="149"/>
      <c r="G28">
        <v>47</v>
      </c>
      <c r="H28" s="1">
        <f t="shared" ref="H28:H31" si="6">+G28/33*28</f>
        <v>39.878787878787882</v>
      </c>
      <c r="I28" s="1"/>
      <c r="J28" s="1"/>
      <c r="K28" s="1">
        <v>30</v>
      </c>
      <c r="L28" s="1">
        <f t="shared" ref="L28:L32" si="7">+H28+I28+J28+K28</f>
        <v>69.878787878787875</v>
      </c>
      <c r="M28" s="1"/>
    </row>
    <row r="29" spans="1:13" x14ac:dyDescent="0.25">
      <c r="A29" s="6" t="s">
        <v>14</v>
      </c>
      <c r="B29" s="147" t="s">
        <v>22</v>
      </c>
      <c r="C29" s="148"/>
      <c r="D29" s="148"/>
      <c r="E29" s="148"/>
      <c r="F29" s="149"/>
      <c r="G29">
        <v>108</v>
      </c>
      <c r="H29" s="1">
        <f t="shared" si="6"/>
        <v>91.63636363636364</v>
      </c>
      <c r="I29" s="1"/>
      <c r="J29" s="1"/>
      <c r="K29" s="1">
        <v>30</v>
      </c>
      <c r="L29" s="1">
        <f t="shared" si="7"/>
        <v>121.63636363636364</v>
      </c>
      <c r="M29" s="1"/>
    </row>
    <row r="30" spans="1:13" x14ac:dyDescent="0.25">
      <c r="A30" s="6" t="s">
        <v>15</v>
      </c>
      <c r="B30" s="147" t="s">
        <v>23</v>
      </c>
      <c r="C30" s="148"/>
      <c r="D30" s="148"/>
      <c r="E30" s="148"/>
      <c r="F30" s="149"/>
      <c r="G30">
        <v>66</v>
      </c>
      <c r="H30" s="1">
        <f t="shared" si="6"/>
        <v>56</v>
      </c>
      <c r="I30" s="1"/>
      <c r="J30" s="1"/>
      <c r="K30" s="1">
        <v>30</v>
      </c>
      <c r="L30" s="1">
        <f t="shared" si="7"/>
        <v>86</v>
      </c>
      <c r="M30" s="1"/>
    </row>
    <row r="31" spans="1:13" x14ac:dyDescent="0.25">
      <c r="A31" s="6" t="s">
        <v>16</v>
      </c>
      <c r="B31" s="147" t="s">
        <v>24</v>
      </c>
      <c r="C31" s="148"/>
      <c r="D31" s="148"/>
      <c r="E31" s="148"/>
      <c r="F31" s="149"/>
      <c r="G31">
        <v>66</v>
      </c>
      <c r="H31" s="1">
        <f t="shared" si="6"/>
        <v>56</v>
      </c>
      <c r="I31" s="1"/>
      <c r="J31" s="1"/>
      <c r="K31" s="1">
        <v>30</v>
      </c>
      <c r="L31" s="1">
        <f t="shared" si="7"/>
        <v>86</v>
      </c>
      <c r="M31" s="1"/>
    </row>
    <row r="32" spans="1:13" x14ac:dyDescent="0.25">
      <c r="A32" s="6"/>
      <c r="B32" s="147"/>
      <c r="C32" s="148"/>
      <c r="D32" s="148"/>
      <c r="E32" s="148"/>
      <c r="F32" s="149"/>
      <c r="H32" s="1"/>
      <c r="I32" s="1"/>
      <c r="J32" s="1"/>
      <c r="K32" s="1"/>
      <c r="L32" s="1">
        <f t="shared" si="7"/>
        <v>0</v>
      </c>
      <c r="M32" s="1"/>
    </row>
    <row r="33" spans="1:13" x14ac:dyDescent="0.25">
      <c r="A33" s="164"/>
      <c r="B33" s="151"/>
      <c r="C33" s="151"/>
      <c r="D33" s="151"/>
      <c r="E33" s="151"/>
      <c r="F33" s="152"/>
      <c r="G33" s="7">
        <f>SUM(G28:G32)</f>
        <v>287</v>
      </c>
      <c r="H33" s="8">
        <f>SUM(H28:H32)</f>
        <v>243.51515151515153</v>
      </c>
      <c r="I33" s="8">
        <f t="shared" ref="I33:J33" si="8">SUM(I28:I32)</f>
        <v>0</v>
      </c>
      <c r="J33" s="8">
        <f t="shared" si="8"/>
        <v>0</v>
      </c>
      <c r="K33" s="8">
        <f>SUM(K28:K32)</f>
        <v>120</v>
      </c>
      <c r="L33" s="8">
        <f>SUM(L28:L32)</f>
        <v>363.5151515151515</v>
      </c>
      <c r="M33" s="1">
        <v>93</v>
      </c>
    </row>
    <row r="34" spans="1:13" x14ac:dyDescent="0.25">
      <c r="A34" s="153"/>
      <c r="B34" s="154"/>
      <c r="C34" s="154"/>
      <c r="D34" s="154"/>
      <c r="E34" s="154"/>
      <c r="F34" s="155"/>
      <c r="L34" s="1"/>
      <c r="M34" s="1">
        <f>465-M33</f>
        <v>372</v>
      </c>
    </row>
    <row r="37" spans="1:13" ht="15.75" thickBot="1" x14ac:dyDescent="0.3">
      <c r="A37" s="184" t="s">
        <v>29</v>
      </c>
      <c r="B37" s="185"/>
      <c r="C37" s="185"/>
      <c r="D37" s="185"/>
      <c r="E37" s="185"/>
      <c r="F37" s="186"/>
      <c r="G37" s="33" t="s">
        <v>6</v>
      </c>
      <c r="H37" s="33"/>
      <c r="J37" s="34">
        <f>+G44</f>
        <v>412.49999999999994</v>
      </c>
      <c r="K37">
        <f>+J37/33</f>
        <v>12.499999999999998</v>
      </c>
      <c r="L37" s="1">
        <f>+K37*28</f>
        <v>349.99999999999994</v>
      </c>
    </row>
    <row r="38" spans="1:13" ht="15.75" thickBot="1" x14ac:dyDescent="0.3">
      <c r="A38" s="181"/>
      <c r="B38" s="182"/>
      <c r="C38" s="182"/>
      <c r="D38" s="182"/>
      <c r="E38" s="182"/>
      <c r="F38" s="183"/>
      <c r="G38" s="5" t="s">
        <v>7</v>
      </c>
      <c r="H38" s="5" t="s">
        <v>8</v>
      </c>
      <c r="I38" s="5" t="s">
        <v>9</v>
      </c>
      <c r="J38" s="5" t="s">
        <v>10</v>
      </c>
      <c r="K38" s="5" t="s">
        <v>11</v>
      </c>
      <c r="L38" s="5" t="s">
        <v>12</v>
      </c>
    </row>
    <row r="39" spans="1:13" x14ac:dyDescent="0.25">
      <c r="A39" s="6" t="s">
        <v>13</v>
      </c>
      <c r="B39" s="178" t="s">
        <v>72</v>
      </c>
      <c r="C39" s="179"/>
      <c r="D39" s="179"/>
      <c r="E39" s="179"/>
      <c r="F39" s="180"/>
      <c r="G39" s="12">
        <v>63</v>
      </c>
      <c r="H39" s="1">
        <f t="shared" ref="H39:H43" si="9">+G39/33*28</f>
        <v>53.454545454545453</v>
      </c>
      <c r="I39" s="1">
        <v>100</v>
      </c>
      <c r="J39" s="1"/>
      <c r="K39" s="1">
        <v>55</v>
      </c>
      <c r="L39" s="1">
        <f>+H39+I39+J39+K39</f>
        <v>208.45454545454544</v>
      </c>
    </row>
    <row r="40" spans="1:13" x14ac:dyDescent="0.25">
      <c r="A40" s="6" t="s">
        <v>14</v>
      </c>
      <c r="B40" s="147" t="s">
        <v>101</v>
      </c>
      <c r="C40" s="148"/>
      <c r="D40" s="148"/>
      <c r="E40" s="148"/>
      <c r="F40" s="149"/>
      <c r="G40">
        <f>59.1*2</f>
        <v>118.2</v>
      </c>
      <c r="H40" s="1">
        <f t="shared" si="9"/>
        <v>100.2909090909091</v>
      </c>
      <c r="I40" s="1"/>
      <c r="J40" s="1"/>
      <c r="K40" s="1">
        <v>25</v>
      </c>
      <c r="L40" s="1">
        <f>+H40+I40+J40+K40</f>
        <v>125.2909090909091</v>
      </c>
    </row>
    <row r="41" spans="1:13" x14ac:dyDescent="0.25">
      <c r="A41" s="6" t="s">
        <v>15</v>
      </c>
      <c r="B41" s="147" t="s">
        <v>75</v>
      </c>
      <c r="C41" s="148"/>
      <c r="D41" s="148"/>
      <c r="E41" s="148"/>
      <c r="F41" s="149"/>
      <c r="G41">
        <v>83</v>
      </c>
      <c r="H41" s="1">
        <f t="shared" si="9"/>
        <v>70.424242424242422</v>
      </c>
      <c r="I41" s="1">
        <v>100</v>
      </c>
      <c r="J41" s="1"/>
      <c r="K41" s="1">
        <v>80</v>
      </c>
      <c r="L41" s="1">
        <f>+H41+I41+J41+K41</f>
        <v>250.42424242424244</v>
      </c>
    </row>
    <row r="42" spans="1:13" x14ac:dyDescent="0.25">
      <c r="A42" s="6" t="s">
        <v>16</v>
      </c>
      <c r="B42" s="147" t="s">
        <v>74</v>
      </c>
      <c r="C42" s="148"/>
      <c r="D42" s="148"/>
      <c r="E42" s="148"/>
      <c r="F42" s="149"/>
      <c r="G42" s="33">
        <v>92.6</v>
      </c>
      <c r="H42" s="1">
        <f t="shared" si="9"/>
        <v>78.569696969696963</v>
      </c>
      <c r="I42" s="1">
        <v>100</v>
      </c>
      <c r="J42" s="1"/>
      <c r="K42" s="1">
        <v>80</v>
      </c>
      <c r="L42" s="1">
        <f>+H42+I42+J42+K42</f>
        <v>258.56969696969696</v>
      </c>
    </row>
    <row r="43" spans="1:13" x14ac:dyDescent="0.25">
      <c r="A43" s="6" t="s">
        <v>17</v>
      </c>
      <c r="B43" s="175" t="s">
        <v>83</v>
      </c>
      <c r="C43" s="176"/>
      <c r="D43" s="176"/>
      <c r="E43" s="176"/>
      <c r="F43" s="177"/>
      <c r="G43" s="33">
        <v>55.7</v>
      </c>
      <c r="H43" s="1">
        <f t="shared" si="9"/>
        <v>47.260606060606065</v>
      </c>
      <c r="I43" s="1"/>
      <c r="J43" s="1"/>
      <c r="K43" s="1">
        <v>55</v>
      </c>
      <c r="L43" s="1">
        <f>+H43+I43+J43+K43</f>
        <v>102.26060606060607</v>
      </c>
    </row>
    <row r="44" spans="1:13" x14ac:dyDescent="0.25">
      <c r="A44" s="164"/>
      <c r="B44" s="151"/>
      <c r="C44" s="151"/>
      <c r="D44" s="151"/>
      <c r="E44" s="151"/>
      <c r="F44" s="152"/>
      <c r="G44" s="7">
        <f t="shared" ref="G44:L44" si="10">SUM(G39:G43)</f>
        <v>412.49999999999994</v>
      </c>
      <c r="H44" s="8">
        <f t="shared" si="10"/>
        <v>350</v>
      </c>
      <c r="I44" s="8">
        <f t="shared" si="10"/>
        <v>300</v>
      </c>
      <c r="J44" s="8">
        <f t="shared" si="10"/>
        <v>0</v>
      </c>
      <c r="K44" s="8">
        <f t="shared" si="10"/>
        <v>295</v>
      </c>
      <c r="L44" s="8">
        <f t="shared" si="10"/>
        <v>945</v>
      </c>
    </row>
    <row r="45" spans="1:13" x14ac:dyDescent="0.25">
      <c r="A45" s="153"/>
      <c r="B45" s="154"/>
      <c r="C45" s="154"/>
      <c r="D45" s="154"/>
      <c r="E45" s="154"/>
      <c r="F45" s="155"/>
      <c r="L45" s="1"/>
    </row>
    <row r="49" spans="1:12" ht="15.75" thickBot="1" x14ac:dyDescent="0.3">
      <c r="A49" s="190" t="s">
        <v>29</v>
      </c>
      <c r="B49" s="191"/>
      <c r="C49" s="191"/>
      <c r="D49" s="191"/>
      <c r="E49" s="191"/>
      <c r="F49" s="192"/>
      <c r="G49" s="66" t="s">
        <v>6</v>
      </c>
      <c r="H49" s="66"/>
      <c r="I49" s="66"/>
      <c r="J49" s="67">
        <f>+G56</f>
        <v>203.3</v>
      </c>
      <c r="K49" s="66">
        <f>+J49/33</f>
        <v>6.1606060606060611</v>
      </c>
      <c r="L49" s="68">
        <f>+K49*28</f>
        <v>172.4969696969697</v>
      </c>
    </row>
    <row r="50" spans="1:12" ht="15.75" thickBot="1" x14ac:dyDescent="0.3">
      <c r="A50" s="193"/>
      <c r="B50" s="191"/>
      <c r="C50" s="191"/>
      <c r="D50" s="191"/>
      <c r="E50" s="191"/>
      <c r="F50" s="191"/>
      <c r="G50" s="69" t="s">
        <v>7</v>
      </c>
      <c r="H50" s="69" t="s">
        <v>8</v>
      </c>
      <c r="I50" s="69" t="s">
        <v>9</v>
      </c>
      <c r="J50" s="69" t="s">
        <v>10</v>
      </c>
      <c r="K50" s="69" t="s">
        <v>11</v>
      </c>
      <c r="L50" s="69" t="s">
        <v>12</v>
      </c>
    </row>
    <row r="51" spans="1:12" x14ac:dyDescent="0.25">
      <c r="A51" s="70" t="s">
        <v>13</v>
      </c>
      <c r="B51" s="194" t="s">
        <v>102</v>
      </c>
      <c r="C51" s="191"/>
      <c r="D51" s="191"/>
      <c r="E51" s="191"/>
      <c r="F51" s="192"/>
      <c r="G51" s="71"/>
      <c r="H51" s="72">
        <f>+G51/33*28</f>
        <v>0</v>
      </c>
      <c r="I51" s="72"/>
      <c r="J51" s="72"/>
      <c r="K51" s="72">
        <v>30</v>
      </c>
      <c r="L51" s="72">
        <f>+H51+I51+J51+K51</f>
        <v>30</v>
      </c>
    </row>
    <row r="52" spans="1:12" x14ac:dyDescent="0.25">
      <c r="A52" s="70" t="s">
        <v>14</v>
      </c>
      <c r="B52" s="194"/>
      <c r="C52" s="191"/>
      <c r="D52" s="191"/>
      <c r="E52" s="191"/>
      <c r="F52" s="192"/>
      <c r="G52" s="71"/>
      <c r="H52" s="72">
        <f>+G52/33*28</f>
        <v>0</v>
      </c>
      <c r="I52" s="72"/>
      <c r="J52" s="72"/>
      <c r="K52" s="72"/>
      <c r="L52" s="72">
        <f>+H52+I52+J52+K52</f>
        <v>0</v>
      </c>
    </row>
    <row r="53" spans="1:12" x14ac:dyDescent="0.25">
      <c r="A53" s="70" t="s">
        <v>15</v>
      </c>
      <c r="B53" s="194" t="s">
        <v>103</v>
      </c>
      <c r="C53" s="191"/>
      <c r="D53" s="191"/>
      <c r="E53" s="191"/>
      <c r="F53" s="192"/>
      <c r="G53" s="71">
        <v>109</v>
      </c>
      <c r="H53" s="72">
        <f>+G53/33*28</f>
        <v>92.484848484848484</v>
      </c>
      <c r="I53" s="72"/>
      <c r="J53" s="72"/>
      <c r="K53" s="72">
        <v>30</v>
      </c>
      <c r="L53" s="72">
        <f>+H53+I53+J53+K53</f>
        <v>122.48484848484848</v>
      </c>
    </row>
    <row r="54" spans="1:12" x14ac:dyDescent="0.25">
      <c r="A54" s="70" t="s">
        <v>16</v>
      </c>
      <c r="B54" s="194" t="s">
        <v>104</v>
      </c>
      <c r="C54" s="191"/>
      <c r="D54" s="191"/>
      <c r="E54" s="191"/>
      <c r="F54" s="192"/>
      <c r="G54" s="71">
        <v>48.8</v>
      </c>
      <c r="H54" s="72">
        <f>+G54/33*28</f>
        <v>41.406060606060606</v>
      </c>
      <c r="I54" s="72"/>
      <c r="J54" s="72"/>
      <c r="K54" s="72">
        <v>30</v>
      </c>
      <c r="L54" s="72">
        <f>+H54+I54+J54+K54</f>
        <v>71.406060606060606</v>
      </c>
    </row>
    <row r="55" spans="1:12" x14ac:dyDescent="0.25">
      <c r="A55" s="70" t="s">
        <v>17</v>
      </c>
      <c r="B55" s="194" t="s">
        <v>105</v>
      </c>
      <c r="C55" s="191"/>
      <c r="D55" s="191"/>
      <c r="E55" s="191"/>
      <c r="F55" s="192"/>
      <c r="G55" s="71">
        <v>45.5</v>
      </c>
      <c r="H55" s="72">
        <f>+G55/33*28</f>
        <v>38.606060606060609</v>
      </c>
      <c r="I55" s="72"/>
      <c r="J55" s="72"/>
      <c r="K55" s="72">
        <v>30</v>
      </c>
      <c r="L55" s="72">
        <f>+H55+I55+J55+K55</f>
        <v>68.606060606060609</v>
      </c>
    </row>
    <row r="56" spans="1:12" x14ac:dyDescent="0.25">
      <c r="A56" s="195"/>
      <c r="B56" s="196"/>
      <c r="C56" s="196"/>
      <c r="D56" s="196"/>
      <c r="E56" s="196"/>
      <c r="F56" s="197"/>
      <c r="G56" s="73">
        <f t="shared" ref="G56:L56" si="11">SUM(G51:G55)</f>
        <v>203.3</v>
      </c>
      <c r="H56" s="73">
        <f t="shared" si="11"/>
        <v>172.4969696969697</v>
      </c>
      <c r="I56" s="74">
        <f t="shared" si="11"/>
        <v>0</v>
      </c>
      <c r="J56" s="74">
        <f t="shared" si="11"/>
        <v>0</v>
      </c>
      <c r="K56" s="74">
        <f t="shared" si="11"/>
        <v>120</v>
      </c>
      <c r="L56" s="74">
        <f t="shared" si="11"/>
        <v>292.4969696969697</v>
      </c>
    </row>
    <row r="57" spans="1:12" x14ac:dyDescent="0.25">
      <c r="A57" s="198"/>
      <c r="B57" s="199"/>
      <c r="C57" s="199"/>
      <c r="D57" s="199"/>
      <c r="E57" s="199"/>
      <c r="F57" s="200"/>
      <c r="G57" s="75"/>
      <c r="H57" s="75"/>
      <c r="I57" s="75"/>
      <c r="J57" s="75"/>
      <c r="K57" s="75"/>
      <c r="L57" s="76"/>
    </row>
  </sheetData>
  <mergeCells count="44">
    <mergeCell ref="B52:F52"/>
    <mergeCell ref="B53:F53"/>
    <mergeCell ref="B54:F54"/>
    <mergeCell ref="B55:F55"/>
    <mergeCell ref="A56:F57"/>
    <mergeCell ref="A38:F38"/>
    <mergeCell ref="B39:F39"/>
    <mergeCell ref="A49:F49"/>
    <mergeCell ref="A50:F50"/>
    <mergeCell ref="B51:F51"/>
    <mergeCell ref="B40:F40"/>
    <mergeCell ref="B41:F41"/>
    <mergeCell ref="B42:F42"/>
    <mergeCell ref="B43:F43"/>
    <mergeCell ref="A44:F45"/>
    <mergeCell ref="B28:F28"/>
    <mergeCell ref="A37:F37"/>
    <mergeCell ref="B30:F30"/>
    <mergeCell ref="B29:F29"/>
    <mergeCell ref="B31:F31"/>
    <mergeCell ref="B32:F32"/>
    <mergeCell ref="A33:F34"/>
    <mergeCell ref="B21:F21"/>
    <mergeCell ref="A22:F23"/>
    <mergeCell ref="A26:F26"/>
    <mergeCell ref="G26:I26"/>
    <mergeCell ref="A27:F27"/>
    <mergeCell ref="A16:F16"/>
    <mergeCell ref="B17:F17"/>
    <mergeCell ref="B18:F18"/>
    <mergeCell ref="B19:F19"/>
    <mergeCell ref="B20:F20"/>
    <mergeCell ref="B8:F8"/>
    <mergeCell ref="B9:F9"/>
    <mergeCell ref="B10:F10"/>
    <mergeCell ref="A11:F12"/>
    <mergeCell ref="A15:F15"/>
    <mergeCell ref="B7:F7"/>
    <mergeCell ref="A2:L2"/>
    <mergeCell ref="A3:L3"/>
    <mergeCell ref="A4:F4"/>
    <mergeCell ref="G4:I4"/>
    <mergeCell ref="A5:F5"/>
    <mergeCell ref="B6:F6"/>
  </mergeCell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M8"/>
  <sheetViews>
    <sheetView workbookViewId="0">
      <selection activeCell="M10" sqref="M10"/>
    </sheetView>
  </sheetViews>
  <sheetFormatPr baseColWidth="10" defaultRowHeight="15" x14ac:dyDescent="0.25"/>
  <cols>
    <col min="1" max="1" width="13.85546875" bestFit="1" customWidth="1"/>
    <col min="2" max="2" width="6.85546875" customWidth="1"/>
    <col min="3" max="3" width="5.28515625" customWidth="1"/>
    <col min="4" max="4" width="6.140625" customWidth="1"/>
    <col min="5" max="5" width="10" customWidth="1"/>
    <col min="6" max="6" width="6.7109375" customWidth="1"/>
    <col min="7" max="8" width="7.140625" customWidth="1"/>
    <col min="9" max="11" width="7.28515625" customWidth="1"/>
  </cols>
  <sheetData>
    <row r="1" spans="1:13" ht="15" customHeight="1" x14ac:dyDescent="0.25">
      <c r="A1" s="202" t="s">
        <v>116</v>
      </c>
      <c r="B1" s="203"/>
      <c r="C1" s="203"/>
      <c r="D1" s="203"/>
      <c r="E1" s="203"/>
      <c r="F1" s="203"/>
      <c r="G1" s="203"/>
      <c r="H1" s="65"/>
      <c r="I1" s="204">
        <v>43922</v>
      </c>
      <c r="J1" s="205"/>
      <c r="K1" s="205"/>
      <c r="L1" s="33"/>
    </row>
    <row r="2" spans="1:13" x14ac:dyDescent="0.25">
      <c r="A2" s="201" t="s">
        <v>117</v>
      </c>
      <c r="B2" s="77" t="s">
        <v>112</v>
      </c>
      <c r="C2" s="77" t="s">
        <v>111</v>
      </c>
      <c r="D2" s="77" t="s">
        <v>112</v>
      </c>
      <c r="E2" s="77" t="s">
        <v>113</v>
      </c>
      <c r="F2" s="77" t="s">
        <v>114</v>
      </c>
      <c r="G2" s="77" t="s">
        <v>115</v>
      </c>
      <c r="H2" s="80" t="s">
        <v>122</v>
      </c>
      <c r="I2" s="80" t="s">
        <v>119</v>
      </c>
      <c r="J2" s="80" t="s">
        <v>120</v>
      </c>
      <c r="K2" s="80" t="s">
        <v>121</v>
      </c>
      <c r="L2" s="77" t="s">
        <v>118</v>
      </c>
    </row>
    <row r="3" spans="1:13" x14ac:dyDescent="0.25">
      <c r="A3" s="201"/>
      <c r="B3" s="79">
        <v>17</v>
      </c>
      <c r="C3" s="78">
        <v>23</v>
      </c>
      <c r="D3" s="78">
        <v>24</v>
      </c>
      <c r="E3" s="78">
        <v>25</v>
      </c>
      <c r="F3" s="78">
        <v>26</v>
      </c>
      <c r="G3" s="78">
        <v>27</v>
      </c>
      <c r="H3" s="78">
        <v>28</v>
      </c>
      <c r="I3" s="78">
        <v>6</v>
      </c>
      <c r="J3" s="78">
        <v>7</v>
      </c>
      <c r="K3" s="78">
        <v>8</v>
      </c>
      <c r="L3" s="77"/>
    </row>
    <row r="4" spans="1:13" x14ac:dyDescent="0.25">
      <c r="A4" s="77" t="s">
        <v>106</v>
      </c>
      <c r="B4" s="78"/>
      <c r="C4" s="78">
        <v>1</v>
      </c>
      <c r="D4" s="78">
        <v>1</v>
      </c>
      <c r="E4" s="78">
        <v>1</v>
      </c>
      <c r="F4" s="78">
        <v>1</v>
      </c>
      <c r="G4" s="78">
        <v>1</v>
      </c>
      <c r="H4" s="78">
        <v>1</v>
      </c>
      <c r="I4" s="78"/>
      <c r="J4" s="78"/>
      <c r="K4" s="78"/>
      <c r="L4" s="77">
        <f>SUM(B4:K4)</f>
        <v>6</v>
      </c>
      <c r="M4" s="81"/>
    </row>
    <row r="5" spans="1:13" x14ac:dyDescent="0.25">
      <c r="A5" s="77" t="s">
        <v>107</v>
      </c>
      <c r="B5" s="78">
        <v>1</v>
      </c>
      <c r="C5" s="78">
        <v>1</v>
      </c>
      <c r="D5" s="78">
        <v>1</v>
      </c>
      <c r="E5" s="78">
        <v>1</v>
      </c>
      <c r="F5" s="78">
        <v>1</v>
      </c>
      <c r="G5" s="78">
        <v>1</v>
      </c>
      <c r="H5" s="78"/>
      <c r="I5" s="78">
        <v>1</v>
      </c>
      <c r="J5" s="78">
        <v>1</v>
      </c>
      <c r="K5" s="78">
        <v>0.5</v>
      </c>
      <c r="L5" s="77">
        <f>SUM(B5:K5)</f>
        <v>8.5</v>
      </c>
      <c r="M5" s="82"/>
    </row>
    <row r="6" spans="1:13" x14ac:dyDescent="0.25">
      <c r="A6" s="83" t="s">
        <v>108</v>
      </c>
      <c r="B6" s="84">
        <v>1</v>
      </c>
      <c r="C6" s="84">
        <v>1</v>
      </c>
      <c r="D6" s="84">
        <v>1</v>
      </c>
      <c r="E6" s="84">
        <v>1</v>
      </c>
      <c r="F6" s="84">
        <v>1</v>
      </c>
      <c r="G6" s="84">
        <v>1</v>
      </c>
      <c r="H6" s="84">
        <v>1</v>
      </c>
      <c r="I6" s="84"/>
      <c r="J6" s="84"/>
      <c r="K6" s="84"/>
      <c r="L6" s="83">
        <f>SUM(B6:K6)</f>
        <v>7</v>
      </c>
      <c r="M6" s="85"/>
    </row>
    <row r="7" spans="1:13" x14ac:dyDescent="0.25">
      <c r="A7" s="77" t="s">
        <v>109</v>
      </c>
      <c r="B7" s="78">
        <v>1</v>
      </c>
      <c r="C7" s="78">
        <v>1</v>
      </c>
      <c r="D7" s="78">
        <v>1</v>
      </c>
      <c r="E7" s="78">
        <v>1</v>
      </c>
      <c r="F7" s="78">
        <v>1</v>
      </c>
      <c r="G7" s="78">
        <v>1</v>
      </c>
      <c r="H7" s="78"/>
      <c r="I7" s="78">
        <v>1</v>
      </c>
      <c r="J7" s="78">
        <v>1</v>
      </c>
      <c r="K7" s="78">
        <v>0.5</v>
      </c>
      <c r="L7" s="77">
        <f>SUM(B7:K7)</f>
        <v>8.5</v>
      </c>
      <c r="M7" s="82"/>
    </row>
    <row r="8" spans="1:13" x14ac:dyDescent="0.25">
      <c r="A8" s="77" t="s">
        <v>110</v>
      </c>
      <c r="B8" s="78">
        <v>1</v>
      </c>
      <c r="C8" s="78">
        <v>1</v>
      </c>
      <c r="D8" s="78">
        <v>1</v>
      </c>
      <c r="E8" s="78">
        <v>1</v>
      </c>
      <c r="F8" s="78">
        <v>1</v>
      </c>
      <c r="G8" s="78">
        <v>1</v>
      </c>
      <c r="H8" s="78">
        <v>1</v>
      </c>
      <c r="I8" s="78">
        <v>1</v>
      </c>
      <c r="J8" s="78">
        <v>1</v>
      </c>
      <c r="K8" s="78">
        <v>0.5</v>
      </c>
      <c r="L8" s="77">
        <f>SUM(B8:K8)</f>
        <v>9.5</v>
      </c>
      <c r="M8" s="82"/>
    </row>
  </sheetData>
  <mergeCells count="3">
    <mergeCell ref="A2:A3"/>
    <mergeCell ref="A1:G1"/>
    <mergeCell ref="I1:K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Ruta10</vt:lpstr>
      <vt:lpstr>Ruta14</vt:lpstr>
      <vt:lpstr>Ruta12</vt:lpstr>
      <vt:lpstr>Ruta13</vt:lpstr>
      <vt:lpstr>TABLA DE VIATICOS</vt:lpstr>
      <vt:lpstr>SUPERVISOR</vt:lpstr>
      <vt:lpstr>VIATICOS DE LA SEMANA </vt:lpstr>
      <vt:lpstr>viaciones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pc2</dc:creator>
  <cp:lastModifiedBy>228166 - ALISON ELIZABETH SANDOVAL SANDOVAL</cp:lastModifiedBy>
  <cp:lastPrinted>2025-11-08T14:39:01Z</cp:lastPrinted>
  <dcterms:created xsi:type="dcterms:W3CDTF">2018-07-27T15:53:16Z</dcterms:created>
  <dcterms:modified xsi:type="dcterms:W3CDTF">2026-03-19T15:46:14Z</dcterms:modified>
</cp:coreProperties>
</file>