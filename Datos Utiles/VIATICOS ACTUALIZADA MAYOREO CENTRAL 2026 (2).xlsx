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RABAJO\MAYOREO\VIATICOS 2026\"/>
    </mc:Choice>
  </mc:AlternateContent>
  <xr:revisionPtr revIDLastSave="0" documentId="13_ncr:1_{EE654185-B3D7-4555-A68E-C49E568798A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RMANDO R4" sheetId="2" r:id="rId1"/>
    <sheet name="PAVEL R5" sheetId="3" r:id="rId2"/>
    <sheet name="ALVARO R6" sheetId="4" r:id="rId3"/>
    <sheet name="MARIO R9" sheetId="1" r:id="rId4"/>
    <sheet name="EDGAR R16" sheetId="9" r:id="rId5"/>
    <sheet name="SUPERVISOR R7" sheetId="6" r:id="rId6"/>
    <sheet name="TABLA DE VIATICOS" sheetId="5" r:id="rId7"/>
    <sheet name="VIATICOS DE LA SEMANA " sheetId="7" r:id="rId8"/>
    <sheet name="vacione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3" l="1"/>
  <c r="L44" i="9" l="1"/>
  <c r="K44" i="9"/>
  <c r="J44" i="9"/>
  <c r="H44" i="9"/>
  <c r="K37" i="9" s="1"/>
  <c r="L37" i="9" s="1"/>
  <c r="M37" i="9" s="1"/>
  <c r="I43" i="9"/>
  <c r="M43" i="9" s="1"/>
  <c r="I42" i="9"/>
  <c r="M42" i="9" s="1"/>
  <c r="I41" i="9"/>
  <c r="M41" i="9" s="1"/>
  <c r="I40" i="9"/>
  <c r="M40" i="9" s="1"/>
  <c r="I39" i="9"/>
  <c r="L34" i="9"/>
  <c r="K34" i="9"/>
  <c r="J34" i="9"/>
  <c r="H34" i="9"/>
  <c r="K27" i="9" s="1"/>
  <c r="L27" i="9" s="1"/>
  <c r="M27" i="9" s="1"/>
  <c r="I33" i="9"/>
  <c r="M33" i="9" s="1"/>
  <c r="I32" i="9"/>
  <c r="M32" i="9" s="1"/>
  <c r="I31" i="9"/>
  <c r="M31" i="9" s="1"/>
  <c r="I30" i="9"/>
  <c r="M30" i="9" s="1"/>
  <c r="I29" i="9"/>
  <c r="L24" i="9"/>
  <c r="K24" i="9"/>
  <c r="J24" i="9"/>
  <c r="H24" i="9"/>
  <c r="K17" i="9" s="1"/>
  <c r="L17" i="9" s="1"/>
  <c r="M17" i="9" s="1"/>
  <c r="I23" i="9"/>
  <c r="M23" i="9" s="1"/>
  <c r="I22" i="9"/>
  <c r="M22" i="9" s="1"/>
  <c r="I21" i="9"/>
  <c r="M21" i="9" s="1"/>
  <c r="I20" i="9"/>
  <c r="M20" i="9" s="1"/>
  <c r="I19" i="9"/>
  <c r="L14" i="9"/>
  <c r="K14" i="9"/>
  <c r="J14" i="9"/>
  <c r="H14" i="9"/>
  <c r="K7" i="9" s="1"/>
  <c r="L7" i="9" s="1"/>
  <c r="M7" i="9" s="1"/>
  <c r="I13" i="9"/>
  <c r="M13" i="9" s="1"/>
  <c r="I12" i="9"/>
  <c r="M12" i="9" s="1"/>
  <c r="I11" i="9"/>
  <c r="M11" i="9" s="1"/>
  <c r="I10" i="9"/>
  <c r="I9" i="9"/>
  <c r="M9" i="9" s="1"/>
  <c r="L8" i="8"/>
  <c r="L7" i="8"/>
  <c r="L6" i="8"/>
  <c r="L5" i="8"/>
  <c r="L4" i="8"/>
  <c r="K56" i="7"/>
  <c r="J56" i="7"/>
  <c r="I56" i="7"/>
  <c r="G56" i="7"/>
  <c r="J49" i="7" s="1"/>
  <c r="K49" i="7" s="1"/>
  <c r="L49" i="7" s="1"/>
  <c r="H55" i="7"/>
  <c r="L55" i="7" s="1"/>
  <c r="H54" i="7"/>
  <c r="L54" i="7" s="1"/>
  <c r="L53" i="7"/>
  <c r="H53" i="7"/>
  <c r="H52" i="7"/>
  <c r="H56" i="7" s="1"/>
  <c r="H51" i="7"/>
  <c r="L51" i="7" s="1"/>
  <c r="K44" i="7"/>
  <c r="J44" i="7"/>
  <c r="I44" i="7"/>
  <c r="G44" i="7"/>
  <c r="H43" i="7"/>
  <c r="L43" i="7" s="1"/>
  <c r="H42" i="7"/>
  <c r="L42" i="7" s="1"/>
  <c r="H41" i="7"/>
  <c r="L41" i="7" s="1"/>
  <c r="G40" i="7"/>
  <c r="H40" i="7" s="1"/>
  <c r="H44" i="7" s="1"/>
  <c r="H39" i="7"/>
  <c r="L39" i="7" s="1"/>
  <c r="J37" i="7"/>
  <c r="K37" i="7" s="1"/>
  <c r="L37" i="7" s="1"/>
  <c r="M34" i="7"/>
  <c r="K33" i="7"/>
  <c r="J33" i="7"/>
  <c r="I33" i="7"/>
  <c r="G33" i="7"/>
  <c r="L32" i="7"/>
  <c r="H31" i="7"/>
  <c r="H33" i="7" s="1"/>
  <c r="L30" i="7"/>
  <c r="H30" i="7"/>
  <c r="H29" i="7"/>
  <c r="L29" i="7" s="1"/>
  <c r="H28" i="7"/>
  <c r="L28" i="7" s="1"/>
  <c r="K26" i="7"/>
  <c r="L26" i="7" s="1"/>
  <c r="J26" i="7"/>
  <c r="K22" i="7"/>
  <c r="J22" i="7"/>
  <c r="I22" i="7"/>
  <c r="G21" i="7"/>
  <c r="G22" i="7" s="1"/>
  <c r="G20" i="7"/>
  <c r="H20" i="7" s="1"/>
  <c r="H19" i="7"/>
  <c r="L19" i="7" s="1"/>
  <c r="H17" i="7"/>
  <c r="L17" i="7" s="1"/>
  <c r="J15" i="7"/>
  <c r="K15" i="7" s="1"/>
  <c r="L15" i="7" s="1"/>
  <c r="L11" i="7"/>
  <c r="M11" i="7" s="1"/>
  <c r="K11" i="7"/>
  <c r="J11" i="7"/>
  <c r="I11" i="7"/>
  <c r="H11" i="7"/>
  <c r="G11" i="7"/>
  <c r="H10" i="7"/>
  <c r="L10" i="7" s="1"/>
  <c r="H9" i="7"/>
  <c r="L9" i="7" s="1"/>
  <c r="H8" i="7"/>
  <c r="L8" i="7" s="1"/>
  <c r="H7" i="7"/>
  <c r="L7" i="7" s="1"/>
  <c r="H6" i="7"/>
  <c r="L6" i="7" s="1"/>
  <c r="K4" i="7"/>
  <c r="L4" i="7" s="1"/>
  <c r="L15" i="6"/>
  <c r="K15" i="6"/>
  <c r="J15" i="6"/>
  <c r="M14" i="6"/>
  <c r="M13" i="6"/>
  <c r="M12" i="6"/>
  <c r="M11" i="6"/>
  <c r="I15" i="6"/>
  <c r="E9" i="5"/>
  <c r="E11" i="5" s="1"/>
  <c r="E5" i="5"/>
  <c r="D5" i="5"/>
  <c r="C5" i="5"/>
  <c r="F5" i="5" s="1"/>
  <c r="F4" i="5"/>
  <c r="F9" i="5" s="1"/>
  <c r="F11" i="5" s="1"/>
  <c r="E4" i="5"/>
  <c r="D4" i="5"/>
  <c r="D9" i="5" s="1"/>
  <c r="D11" i="5" s="1"/>
  <c r="C4" i="5"/>
  <c r="C9" i="5" s="1"/>
  <c r="C11" i="5" s="1"/>
  <c r="L44" i="4"/>
  <c r="K44" i="4"/>
  <c r="J44" i="4"/>
  <c r="H44" i="4"/>
  <c r="M43" i="4"/>
  <c r="M42" i="4"/>
  <c r="M41" i="4"/>
  <c r="M40" i="4"/>
  <c r="M39" i="4"/>
  <c r="L34" i="4"/>
  <c r="K34" i="4"/>
  <c r="J34" i="4"/>
  <c r="H34" i="4"/>
  <c r="M33" i="4"/>
  <c r="M32" i="4"/>
  <c r="I31" i="4"/>
  <c r="M31" i="4" s="1"/>
  <c r="I30" i="4"/>
  <c r="M30" i="4" s="1"/>
  <c r="I29" i="4"/>
  <c r="L24" i="4"/>
  <c r="K24" i="4"/>
  <c r="J24" i="4"/>
  <c r="H24" i="4"/>
  <c r="M23" i="4"/>
  <c r="M22" i="4"/>
  <c r="M21" i="4"/>
  <c r="M20" i="4"/>
  <c r="L14" i="4"/>
  <c r="K14" i="4"/>
  <c r="J14" i="4"/>
  <c r="H14" i="4"/>
  <c r="M13" i="4"/>
  <c r="M12" i="4"/>
  <c r="M11" i="4"/>
  <c r="M10" i="4"/>
  <c r="I14" i="4"/>
  <c r="L44" i="3"/>
  <c r="K44" i="3"/>
  <c r="J44" i="3"/>
  <c r="H44" i="3"/>
  <c r="M43" i="3"/>
  <c r="M42" i="3"/>
  <c r="M41" i="3"/>
  <c r="M40" i="3"/>
  <c r="I44" i="3"/>
  <c r="L34" i="3"/>
  <c r="K34" i="3"/>
  <c r="J34" i="3"/>
  <c r="H34" i="3"/>
  <c r="M33" i="3"/>
  <c r="M32" i="3"/>
  <c r="M31" i="3"/>
  <c r="M30" i="3"/>
  <c r="L24" i="3"/>
  <c r="K24" i="3"/>
  <c r="J24" i="3"/>
  <c r="I24" i="3"/>
  <c r="H24" i="3"/>
  <c r="M23" i="3"/>
  <c r="M22" i="3"/>
  <c r="M21" i="3"/>
  <c r="M20" i="3"/>
  <c r="M19" i="3"/>
  <c r="L14" i="3"/>
  <c r="K14" i="3"/>
  <c r="J14" i="3"/>
  <c r="H14" i="3"/>
  <c r="M13" i="3"/>
  <c r="M12" i="3"/>
  <c r="M11" i="3"/>
  <c r="M10" i="3"/>
  <c r="M9" i="3"/>
  <c r="L44" i="2"/>
  <c r="K44" i="2"/>
  <c r="J44" i="2"/>
  <c r="H44" i="2"/>
  <c r="K37" i="2" s="1"/>
  <c r="L37" i="2" s="1"/>
  <c r="M37" i="2" s="1"/>
  <c r="I43" i="2"/>
  <c r="M43" i="2" s="1"/>
  <c r="I42" i="2"/>
  <c r="M42" i="2" s="1"/>
  <c r="I41" i="2"/>
  <c r="M41" i="2" s="1"/>
  <c r="I40" i="2"/>
  <c r="I39" i="2"/>
  <c r="M39" i="2" s="1"/>
  <c r="L34" i="2"/>
  <c r="K34" i="2"/>
  <c r="J34" i="2"/>
  <c r="H34" i="2"/>
  <c r="K27" i="2" s="1"/>
  <c r="L27" i="2" s="1"/>
  <c r="M27" i="2" s="1"/>
  <c r="I33" i="2"/>
  <c r="M33" i="2" s="1"/>
  <c r="I32" i="2"/>
  <c r="M32" i="2" s="1"/>
  <c r="I31" i="2"/>
  <c r="I30" i="2"/>
  <c r="M30" i="2" s="1"/>
  <c r="I29" i="2"/>
  <c r="M29" i="2" s="1"/>
  <c r="L24" i="2"/>
  <c r="K24" i="2"/>
  <c r="J24" i="2"/>
  <c r="I24" i="2"/>
  <c r="H24" i="2"/>
  <c r="M23" i="2"/>
  <c r="M22" i="2"/>
  <c r="M21" i="2"/>
  <c r="M20" i="2"/>
  <c r="M19" i="2"/>
  <c r="L14" i="2"/>
  <c r="K14" i="2"/>
  <c r="J14" i="2"/>
  <c r="H14" i="2"/>
  <c r="I14" i="2"/>
  <c r="M12" i="2"/>
  <c r="M11" i="2"/>
  <c r="M10" i="2"/>
  <c r="M9" i="2"/>
  <c r="L44" i="1"/>
  <c r="K44" i="1"/>
  <c r="J44" i="1"/>
  <c r="I44" i="1"/>
  <c r="H44" i="1"/>
  <c r="M43" i="1"/>
  <c r="M42" i="1"/>
  <c r="M41" i="1"/>
  <c r="M40" i="1"/>
  <c r="M39" i="1"/>
  <c r="L34" i="1"/>
  <c r="K34" i="1"/>
  <c r="J34" i="1"/>
  <c r="H34" i="1"/>
  <c r="M33" i="1"/>
  <c r="M32" i="1"/>
  <c r="M31" i="1"/>
  <c r="M30" i="1"/>
  <c r="L24" i="1"/>
  <c r="K24" i="1"/>
  <c r="J24" i="1"/>
  <c r="H24" i="1"/>
  <c r="M23" i="1"/>
  <c r="M22" i="1"/>
  <c r="M21" i="1"/>
  <c r="M20" i="1"/>
  <c r="M19" i="1"/>
  <c r="I24" i="1"/>
  <c r="L14" i="1"/>
  <c r="K14" i="1"/>
  <c r="J14" i="1"/>
  <c r="H14" i="1"/>
  <c r="M13" i="1"/>
  <c r="M12" i="1"/>
  <c r="M11" i="1"/>
  <c r="M10" i="1"/>
  <c r="I14" i="1"/>
  <c r="H15" i="6" l="1"/>
  <c r="I34" i="9"/>
  <c r="I44" i="9"/>
  <c r="I24" i="9"/>
  <c r="I14" i="9"/>
  <c r="M24" i="1"/>
  <c r="I34" i="4"/>
  <c r="I44" i="2"/>
  <c r="I34" i="2"/>
  <c r="M24" i="2"/>
  <c r="M19" i="9"/>
  <c r="M24" i="9" s="1"/>
  <c r="M10" i="9"/>
  <c r="M14" i="9" s="1"/>
  <c r="M29" i="9"/>
  <c r="M34" i="9" s="1"/>
  <c r="M39" i="9"/>
  <c r="M44" i="9" s="1"/>
  <c r="M44" i="4"/>
  <c r="F6" i="5" s="1"/>
  <c r="M40" i="2"/>
  <c r="M29" i="1"/>
  <c r="M34" i="1" s="1"/>
  <c r="I34" i="1"/>
  <c r="I24" i="4"/>
  <c r="M19" i="4"/>
  <c r="M24" i="4" s="1"/>
  <c r="D6" i="5" s="1"/>
  <c r="M10" i="6"/>
  <c r="M15" i="6" s="1"/>
  <c r="L52" i="7"/>
  <c r="M44" i="2"/>
  <c r="M29" i="4"/>
  <c r="M34" i="4" s="1"/>
  <c r="E6" i="5" s="1"/>
  <c r="M24" i="3"/>
  <c r="L40" i="7"/>
  <c r="L44" i="7" s="1"/>
  <c r="M13" i="2"/>
  <c r="M14" i="2" s="1"/>
  <c r="M44" i="1"/>
  <c r="M9" i="1"/>
  <c r="M14" i="1" s="1"/>
  <c r="I14" i="3"/>
  <c r="I44" i="4"/>
  <c r="M9" i="4"/>
  <c r="M14" i="4" s="1"/>
  <c r="C6" i="5" s="1"/>
  <c r="M31" i="2"/>
  <c r="M34" i="2" s="1"/>
  <c r="M39" i="3"/>
  <c r="M44" i="3" s="1"/>
  <c r="L31" i="7"/>
  <c r="L33" i="7" s="1"/>
  <c r="M29" i="3"/>
  <c r="M34" i="3" s="1"/>
  <c r="L20" i="7"/>
  <c r="H21" i="7"/>
  <c r="L21" i="7" s="1"/>
  <c r="M14" i="3"/>
  <c r="L56" i="7"/>
  <c r="H22" i="7" l="1"/>
  <c r="L22" i="7"/>
</calcChain>
</file>

<file path=xl/sharedStrings.xml><?xml version="1.0" encoding="utf-8"?>
<sst xmlns="http://schemas.openxmlformats.org/spreadsheetml/2006/main" count="541" uniqueCount="204">
  <si>
    <t>PLANIFICACION SEMANAL</t>
  </si>
  <si>
    <t>VENDEDOR</t>
  </si>
  <si>
    <t>RUTA</t>
  </si>
  <si>
    <t>SUPERVISOR</t>
  </si>
  <si>
    <t>SEMANA 1</t>
  </si>
  <si>
    <t>kilometro promedios recorridos</t>
  </si>
  <si>
    <t xml:space="preserve">Kilometros </t>
  </si>
  <si>
    <t>Costo Gasolina</t>
  </si>
  <si>
    <t>Hotel</t>
  </si>
  <si>
    <t>Peaje</t>
  </si>
  <si>
    <t xml:space="preserve">Comida </t>
  </si>
  <si>
    <t>Totales</t>
  </si>
  <si>
    <t xml:space="preserve">LUNES </t>
  </si>
  <si>
    <t xml:space="preserve">MARTES </t>
  </si>
  <si>
    <t xml:space="preserve">MIERCOLES </t>
  </si>
  <si>
    <t xml:space="preserve">JUEVES </t>
  </si>
  <si>
    <t xml:space="preserve">VIERNES </t>
  </si>
  <si>
    <t>SEMANA 2</t>
  </si>
  <si>
    <t>Monumento al migrante, Moreria, San Cristobal, San Andrés Xecul y 4 Caminos</t>
  </si>
  <si>
    <t>San Francisco, La Cumbre, Santa Maria y Momostenango</t>
  </si>
  <si>
    <t>De 4 Camiones hasta Gobernación de Totonicapan</t>
  </si>
  <si>
    <t>Totonicapan</t>
  </si>
  <si>
    <t>SEMANA 3</t>
  </si>
  <si>
    <t>SALDO</t>
  </si>
  <si>
    <t xml:space="preserve"> </t>
  </si>
  <si>
    <t xml:space="preserve">Peaje </t>
  </si>
  <si>
    <t>SACAPULAS CUNEN USPANTAN UNO</t>
  </si>
  <si>
    <t>USPANTAN DOS  NEBAJ  SAN PEDRO JOCOPILAS</t>
  </si>
  <si>
    <t>CHICHE CHINIQUE ZACUALPA  JOYABAJ</t>
  </si>
  <si>
    <t>SAN ANTONIO ILOTENAGO ZONA 4 TERMINAL,</t>
  </si>
  <si>
    <t>QUICHE ZONAS 1, 2, 3,5, CHICHICASTENANGO</t>
  </si>
  <si>
    <t>SEMANA 4</t>
  </si>
  <si>
    <t>EDIE NATARENO</t>
  </si>
  <si>
    <t>QUETZALTENANGO, CONCEPCION, SAN MARTIN CHILE VERDE COLOMBA COATEPQUE</t>
  </si>
  <si>
    <t>COATEPEQUE, SIBANA, XAB, FLORES GENOVA, RETALHULEU</t>
  </si>
  <si>
    <t xml:space="preserve">COATEPEQUE, LA UNION, LAS PALMAS  </t>
  </si>
  <si>
    <t xml:space="preserve">REU, SANTA CRUZ MULUA, SAN MARTIN ZAPOTITLAN,  QUETZALTENANGO </t>
  </si>
  <si>
    <t>ZONA 3</t>
  </si>
  <si>
    <t>ZONA 8 Y 9</t>
  </si>
  <si>
    <t>ZONA 10 Y LLANOS DEL PINAL</t>
  </si>
  <si>
    <t>LA ESPERANZA ZONA 4, SAN MATEO, CAJOLA</t>
  </si>
  <si>
    <t>JUAN CARLOS</t>
  </si>
  <si>
    <t>SEMANA 4----QUICHÉ</t>
  </si>
  <si>
    <t>ALLAN SANTOS</t>
  </si>
  <si>
    <t>COATEPEQUE-XELA-COATEPEQUE</t>
  </si>
  <si>
    <t>TOTONICAPAN SALIDA A QUICHE TOTO CENTRO CHUJUYUP</t>
  </si>
  <si>
    <t>SANTA MARÍA CHIQUIMULA MOMOSTENANGO SAN FRANCISCO ZONA 3 XELA</t>
  </si>
  <si>
    <t xml:space="preserve">LLANOS DEL PINAL SALCAJA SAN ANDRÉS XECUL SAN CRISTÓBAL CUATRO CAMINOS </t>
  </si>
  <si>
    <t xml:space="preserve">LA ESPERANZA ZONA 4, SAN MATEO TOTONICAPAN </t>
  </si>
  <si>
    <t>Ivan</t>
  </si>
  <si>
    <t>Edie</t>
  </si>
  <si>
    <t>Allan</t>
  </si>
  <si>
    <t xml:space="preserve">Javier </t>
  </si>
  <si>
    <t>Juan Carlos</t>
  </si>
  <si>
    <t>lunes</t>
  </si>
  <si>
    <t>martes</t>
  </si>
  <si>
    <t>miércoles</t>
  </si>
  <si>
    <t>jueves</t>
  </si>
  <si>
    <t>viernes</t>
  </si>
  <si>
    <t>DIAS GOZADOS DE PERIODO VACIONAL /MARZO 2020</t>
  </si>
  <si>
    <t>NOMBRE/DIAS</t>
  </si>
  <si>
    <t>TOTAL</t>
  </si>
  <si>
    <t>Lunes</t>
  </si>
  <si>
    <t>Martes</t>
  </si>
  <si>
    <t>Miercoles</t>
  </si>
  <si>
    <t>sabado</t>
  </si>
  <si>
    <t>MARVIN COLOP</t>
  </si>
  <si>
    <t>LUNES</t>
  </si>
  <si>
    <t>MARTES</t>
  </si>
  <si>
    <t>WALTER HERNANDEZ</t>
  </si>
  <si>
    <t>MICHAEL CILAS</t>
  </si>
  <si>
    <t>Nota:</t>
  </si>
  <si>
    <t>Tomar en cuenta que cada monto asignado en los viaticos son exclusivamente para el concepto asignado, no pueden usarse en coceptos diferentes</t>
  </si>
  <si>
    <t>En caso que se reciba una sola factura por desayuno y habitacion debe venir desgosada por concepto</t>
  </si>
  <si>
    <t>Por aparte este viaticos serán revisados basados en el traquin que obligatoria debe reportar el usuario, en caso no se encuentrre datos en el traking</t>
  </si>
  <si>
    <t>y no se tenga reporte o explicación validad con anticipación los viaticos de ese no serán aplicados.</t>
  </si>
  <si>
    <t>Gabriel Piriz</t>
  </si>
  <si>
    <t>ARMANDO DOMINGUEZ</t>
  </si>
  <si>
    <t>RUTERO 4</t>
  </si>
  <si>
    <t>Capital Terminal S1</t>
  </si>
  <si>
    <t>ZONA 1</t>
  </si>
  <si>
    <t>ZONA 3 Y ZONA 8</t>
  </si>
  <si>
    <t>ZONA 8</t>
  </si>
  <si>
    <t>Comodin</t>
  </si>
  <si>
    <t>BALCONES SAN CRISTOBAL Y PERONIA, SANCRIS ORIENTE</t>
  </si>
  <si>
    <t>ZONA 11 (UTATLAN, TOLEDO, GONZALEZ, LA ESCUADRILLA, EL TESORO, MOLINO,  COL. ROOSEVELT, CARABANCHEL, MARISCAL, GRANAI 2)</t>
  </si>
  <si>
    <t>COLONIAS BERLIN, HAMBURGO, SAN JACINTO LA COMUNIDAD</t>
  </si>
  <si>
    <t>COMODIN</t>
  </si>
  <si>
    <t>BOULEVARD SUR SAN CRISTOBAL, VALLE DORADO, SANCRIS OCCIDENTE</t>
  </si>
  <si>
    <t>Capital Mixco Occ. S2</t>
  </si>
  <si>
    <t>SAN LUCAS SAC, SANTIAGO SAC, SANTA MARIA CUAQUE, SANTO DOMINGO XENACOJ, SUMPANGO</t>
  </si>
  <si>
    <t>SANTA LUCIA, SANTO TOMAS, MAGDALENA MILPAS ALTAS, JOCOTENANGO, PASTORES, SAN LUIS LAS CARRETAS</t>
  </si>
  <si>
    <t>CIUDAD VIEJA, ANTIGUA, SAN PEDRO LAS HUERTAS, SAN GASPAR VIVAR</t>
  </si>
  <si>
    <t>SAN MIGUEL DUEÑAS, ALOTENANGO, LUGARES ALEDAÑOS</t>
  </si>
  <si>
    <t>ANTIGUA, SAN BARTOLOME BECERRA</t>
  </si>
  <si>
    <t>Capital Occidente 1 S3</t>
  </si>
  <si>
    <t>Capital Occidente 2 S4</t>
  </si>
  <si>
    <t xml:space="preserve">EL TEJAR, CHIMALTENANGO ORIENTE </t>
  </si>
  <si>
    <t>CHIMALTENANGO OCCIDENTE, SAN MARTIN JILOTEPEQUE</t>
  </si>
  <si>
    <t xml:space="preserve">PATZICIA, PATZUN, TECPAN                                                 </t>
  </si>
  <si>
    <t>ZARAGOZA, SAN JUAN COMALAPA,</t>
  </si>
  <si>
    <t>SANTA ANA, SAN CRISTOBAL EL BAJO, SAN CRISTOBAL EL ALTO, SAN ADRES IZTAPA, PARRAMOS</t>
  </si>
  <si>
    <t xml:space="preserve">PAVEL LOPEZ 							</t>
  </si>
  <si>
    <t>RUTERO 5</t>
  </si>
  <si>
    <t>CAPITAL SUR 1</t>
  </si>
  <si>
    <t>LINDA VISTA , SANTA ISABEL l, SANTA ISABEL ll</t>
  </si>
  <si>
    <t>SAN JOSE VILLA NUEVA</t>
  </si>
  <si>
    <t xml:space="preserve"> BARCENAS</t>
  </si>
  <si>
    <t>ULISES ROJAS,  LAS NUBES</t>
  </si>
  <si>
    <t>AMATITLAN</t>
  </si>
  <si>
    <t>CAPITAL SUR 2</t>
  </si>
  <si>
    <t>ESTANCIA DE LA VIRGEN, BRISAS DEL VALLE, VILLA CANALES, SANTA INES PETAPA,RIVERA DEL RIO</t>
  </si>
  <si>
    <t>BOCA DEL MONTE, ALAMOS</t>
  </si>
  <si>
    <t xml:space="preserve">VILLA HERMOSA, PRADOS, </t>
  </si>
  <si>
    <t>SAN MIGUEL PETAPA, FRUTAL</t>
  </si>
  <si>
    <t>VILLA NUEVA NORTE Y SUR(COL. VENEZIA, MERCADO VIEJO)</t>
  </si>
  <si>
    <t>CAPITAL SUR 3</t>
  </si>
  <si>
    <t>CALZ. AGUILAR BATRES, DESDE LA 35 AL TREBOL,</t>
  </si>
  <si>
    <t>CALZ. AGUILAR BATRES DESDE LICEO JAVIER, AMBOS LADOS.</t>
  </si>
  <si>
    <t>AVENIDA PETAPA, CIUDAD REAL</t>
  </si>
  <si>
    <t xml:space="preserve">CENMA, VILLA LOBOS 1 Y 2 CASTAÑAS </t>
  </si>
  <si>
    <t>COLONIAS JUSTO RUFINO, MORSE, GUAJITOS</t>
  </si>
  <si>
    <t>CAPITAL SUR 4</t>
  </si>
  <si>
    <t>LA REFORMITA</t>
  </si>
  <si>
    <t>CALZADA ATANASIO IDA</t>
  </si>
  <si>
    <t>CALZADA ATANASIO VUELTA</t>
  </si>
  <si>
    <t>ALVARO FLORES</t>
  </si>
  <si>
    <t>RUTERO 6</t>
  </si>
  <si>
    <t>GABRIEL PIRIZ</t>
  </si>
  <si>
    <t>CAPITAL OESTE S1</t>
  </si>
  <si>
    <t xml:space="preserve">ZONA 7 GUA (KAMINAL JUYU,TIKAL 2,  BETHANIA, SAN MARTIN, CENTRO AMERICA, TIKAL 3) </t>
  </si>
  <si>
    <t xml:space="preserve">ZONA 7 GUA(VILLA LINDA, TULAM ZU ,MONTE VERDE, MONTE REAL,  MONSERRAT 1 Y 2) </t>
  </si>
  <si>
    <t>BELEN, LA BRIGADA, TINCO</t>
  </si>
  <si>
    <t xml:space="preserve">LO DE COY		</t>
  </si>
  <si>
    <t>ZONA 7 GUA (EL TREBOL, CASTILLO LARA, QUINTA SAMAYOA</t>
  </si>
  <si>
    <t>CAPITAL MIXCO NORTE S2</t>
  </si>
  <si>
    <t xml:space="preserve"> ZONA 3 MX, NUEVA MONSERRAT, LOMAS DE RODEO, CALZ. MATEO FLORES </t>
  </si>
  <si>
    <t>ZONA 4 MX (EL NARANJO, MINERVAS, LO DE FUENTES, SAN NICOLAS)</t>
  </si>
  <si>
    <t>ZONA 6 DE MIXCO, LAS BRISAS</t>
  </si>
  <si>
    <t xml:space="preserve">ZONA 1 MX, CD. SATELITE, 					</t>
  </si>
  <si>
    <t>CAPITAL DPTAL NORTE S3</t>
  </si>
  <si>
    <t>EL CHOL, GRANADOS, PACHALÍ</t>
  </si>
  <si>
    <t>PACHALUM, MONUFAR, SAN RAYMUNDO</t>
  </si>
  <si>
    <t>CD. QUETZAL, CHUARRANCHO</t>
  </si>
  <si>
    <t>SAN PEDRO SAC, SAN JUAN SAC.</t>
  </si>
  <si>
    <t>BRISAS, SAN FRANCISCO, LO DE BRAN, MILAGRO, SACOJ</t>
  </si>
  <si>
    <t>CAPITAL  MIXCO NORTE S4</t>
  </si>
  <si>
    <t xml:space="preserve">CALZADA SAN JUAN, DEL TREBOL A MONSERRAT </t>
  </si>
  <si>
    <t>CALZADA SAN JUAN DE MONSERRAT HASTA EL CAMINERO</t>
  </si>
  <si>
    <t xml:space="preserve">CAZADA SAN JUAN  DEL CAMINERO DE REGRESO </t>
  </si>
  <si>
    <t xml:space="preserve">ZONA 19 </t>
  </si>
  <si>
    <t>ZONA 5 MX (SANTA MARTA, 1o. DE JULIO)</t>
  </si>
  <si>
    <t>MARIO CHAVEZ</t>
  </si>
  <si>
    <t>RUTERO 9</t>
  </si>
  <si>
    <t>Capital Atlantico S1</t>
  </si>
  <si>
    <t>SAN ANTONIO LA PAZ, AGUA CALIENTE,  AZACUALPIA</t>
  </si>
  <si>
    <t xml:space="preserve">LOMAS DEL NORTE, CANALITOS , HASTA LA ENTRADA DE SAN RAFAEL </t>
  </si>
  <si>
    <t>SAN  RAFAEL, LOMAS DEL NORTE</t>
  </si>
  <si>
    <t xml:space="preserve">PALENCIA , LOS MIXCOS , EL PARAISO LOS MIXCOS , LOS OCOTES </t>
  </si>
  <si>
    <t xml:space="preserve">FISCAL ,  SAN JOSE DEL GOLFO,  LA CHOLEÑA </t>
  </si>
  <si>
    <t>Capital Norte S2</t>
  </si>
  <si>
    <t xml:space="preserve">COLONIA ATLANTIDA,  LAVARREDA, LOS OLIVOS , MAYA , LO DE REYES , SAN LUIS </t>
  </si>
  <si>
    <t xml:space="preserve">SAN RAFAEL , PINARES ,  ALAMEDA , KENEDY </t>
  </si>
  <si>
    <t xml:space="preserve">,ZONA 6 ; 15 AVENIDA , MEGA 6 , LA FRAUGA , CIPRESALES </t>
  </si>
  <si>
    <t xml:space="preserve">ZONA 6 PROYECTOS 4-4,  4-3,  JOCOTALES </t>
  </si>
  <si>
    <t>ZONA 6 SAN ANGEL , CARRETERA A CHINAUTLA , ZONA 2</t>
  </si>
  <si>
    <t>Capital Centro S3</t>
  </si>
  <si>
    <t xml:space="preserve">ZONA 5, JARDINES , CHACARA, PALMITA </t>
  </si>
  <si>
    <t>ZONA 5 SANTA ANA , 20 DE OCTUBRE  HASTA EL CAMPO MARTE.</t>
  </si>
  <si>
    <t xml:space="preserve"> ZONA 16,  COL . LOURDES , SANTA ROSITA  BULEVAR CENTRO MEDICO, LA MONTAÑA</t>
  </si>
  <si>
    <t xml:space="preserve">ZONA 15, ZONA 10 </t>
  </si>
  <si>
    <t>ZONA 9, ZONA 14, ZONA 13</t>
  </si>
  <si>
    <t xml:space="preserve"> SANTA ELENA BARRILLAS , FRAIJANES ,  LO DE DIEGUEZ </t>
  </si>
  <si>
    <t>CARRETERA A EL SALVADOR IDA , SAN JOSE PINULA</t>
  </si>
  <si>
    <t xml:space="preserve">DON JUSTO, CATARINA </t>
  </si>
  <si>
    <t xml:space="preserve"> SAN JOSE PINULA , EL PUEBLITO</t>
  </si>
  <si>
    <t xml:space="preserve">SANTA CATARINA PINULA , PIEDRA PARADA CRISTO REY </t>
  </si>
  <si>
    <t>EDGAR BARRERA</t>
  </si>
  <si>
    <t>RUTERO 16</t>
  </si>
  <si>
    <t>CAPITAL ESCUINTLA CENTRO  S1</t>
  </si>
  <si>
    <t>YEPOCAPA,  SANTA LUCIA COTZUMALGUAPA</t>
  </si>
  <si>
    <t xml:space="preserve">SANTA LUCIA COTZUMALGUAPA, SIQUINALA				</t>
  </si>
  <si>
    <t xml:space="preserve">ESCUINTLA, SUR/ORIENTE, HASTA GUANAGAZAPA				</t>
  </si>
  <si>
    <t xml:space="preserve">ESCUINTLA CENTRO AVENIDA CENTRO AMERICA				</t>
  </si>
  <si>
    <t xml:space="preserve">ESCUINTLA CENTRO				</t>
  </si>
  <si>
    <t>CAPITAL ESCUINTLA SUR S2</t>
  </si>
  <si>
    <t>SIPACATE, LA GOMERA</t>
  </si>
  <si>
    <t>CEIBA AMELIA, EL PILAR, DEMOCRACIA</t>
  </si>
  <si>
    <t>CARRETERA A  LAS CRUCES, CERRO COLORADO</t>
  </si>
  <si>
    <t>CIRCUNVALACION SANTA LUCIA COTZ Y SIQUINALÁ</t>
  </si>
  <si>
    <t xml:space="preserve">SANTA LUCIA , SIQUINALA Y ESCUINTLA </t>
  </si>
  <si>
    <t>CAPITAL ESCUINTLA SUR S3</t>
  </si>
  <si>
    <t>SAN VICENTE PACAYA, PALIN  Y CARRETERA VIEJA PALIN A ESCUINTLA</t>
  </si>
  <si>
    <t>HAWAI, MONTERRICO, PUERTA DE HIERRO, PUERTO IZTAPA</t>
  </si>
  <si>
    <t>EL PAREDON, PUERTO DE SAN JOSE</t>
  </si>
  <si>
    <t>CUYUTA, LLANITOS, LAS GUACAS, MASAGUA, OBERO,PTO SAN JOSE</t>
  </si>
  <si>
    <t>ESCUINTLA CENTRO</t>
  </si>
  <si>
    <t>CAPITAL ESCUINTLA SUR OCCIDENTE S4</t>
  </si>
  <si>
    <t>COCALES , SAN JUAN BAUTISTA,  PATULUL</t>
  </si>
  <si>
    <t>SANTA BARBARA, RIO BRAVO,  SEMILLERO</t>
  </si>
  <si>
    <t>TIQUISATE, NUEVA CONCEPCION</t>
  </si>
  <si>
    <t>EL NOVILLERO, TECOJATE, COCALES, SANTA LUCIA</t>
  </si>
  <si>
    <t>RUTERO 7</t>
  </si>
  <si>
    <t>RUTA DE SUPERVICION CAPITAL,  CUANDO LA  SUPERVISION SEA  DEPARTAMENTAL SE ENVIARA PREVIAMENTE LA PLANIFICACION DE LA SEMANA  VIA CORREO.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</si>
</sst>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_-&quot;Q&quot;* #,##0.00_-;\-&quot;Q&quot;* #,##0.00_-;_-&quot;Q&quot;* &quot;-&quot;??_-;_-@"/>
    <numFmt numFmtId="165" formatCode="dd/mm/yyyy"/>
    <numFmt numFmtId="166" formatCode="[$-40A]mmm\-yy"/>
  </numFmts>
  <fonts count="23" x14ac:knownFonts="1">
    <font>
      <sz val="11"/>
      <name val="Calibri"/>
    </font>
    <font>
      <sz val="26"/>
      <color rgb="FFFFFF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00"/>
      <name val="Calibri"/>
      <family val="2"/>
    </font>
    <font>
      <sz val="11"/>
      <color rgb="FFFFFF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b/>
      <sz val="11"/>
      <color rgb="FF000000"/>
      <name val="Bookman Old Style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FF00"/>
      <name val="Calibri"/>
      <family val="2"/>
    </font>
    <font>
      <b/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FFFF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ADB9CA"/>
        <bgColor rgb="FFADB9CA"/>
      </patternFill>
    </fill>
    <fill>
      <patternFill patternType="solid">
        <fgColor rgb="FF7F7F7F"/>
        <bgColor rgb="FF7F7F7F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D865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4" fontId="13" fillId="0" borderId="0">
      <alignment vertical="top"/>
      <protection locked="0"/>
    </xf>
  </cellStyleXfs>
  <cellXfs count="171">
    <xf numFmtId="0" fontId="0" fillId="0" borderId="0" xfId="0">
      <alignment vertical="center"/>
    </xf>
    <xf numFmtId="164" fontId="3" fillId="0" borderId="0" xfId="0" applyNumberFormat="1" applyFont="1" applyAlignment="1"/>
    <xf numFmtId="0" fontId="4" fillId="2" borderId="4" xfId="0" applyFont="1" applyFill="1" applyBorder="1" applyAlignment="1"/>
    <xf numFmtId="0" fontId="6" fillId="0" borderId="0" xfId="0" applyFont="1" applyAlignment="1"/>
    <xf numFmtId="2" fontId="6" fillId="0" borderId="0" xfId="0" applyNumberFormat="1" applyFont="1" applyAlignment="1"/>
    <xf numFmtId="164" fontId="6" fillId="0" borderId="0" xfId="0" applyNumberFormat="1" applyFont="1" applyAlignment="1"/>
    <xf numFmtId="0" fontId="6" fillId="5" borderId="11" xfId="0" applyFont="1" applyFill="1" applyBorder="1" applyAlignment="1">
      <alignment horizontal="center"/>
    </xf>
    <xf numFmtId="0" fontId="5" fillId="6" borderId="4" xfId="0" applyFont="1" applyFill="1" applyBorder="1" applyAlignment="1"/>
    <xf numFmtId="2" fontId="6" fillId="7" borderId="0" xfId="0" applyNumberFormat="1" applyFont="1" applyFill="1" applyAlignment="1"/>
    <xf numFmtId="164" fontId="6" fillId="7" borderId="0" xfId="0" applyNumberFormat="1" applyFont="1" applyFill="1" applyAlignment="1"/>
    <xf numFmtId="0" fontId="3" fillId="0" borderId="0" xfId="0" applyFont="1" applyAlignment="1"/>
    <xf numFmtId="0" fontId="2" fillId="0" borderId="0" xfId="0" applyFont="1" applyAlignment="1"/>
    <xf numFmtId="0" fontId="7" fillId="0" borderId="0" xfId="0" applyFont="1" applyAlignment="1"/>
    <xf numFmtId="0" fontId="3" fillId="0" borderId="0" xfId="0" applyFont="1" applyAlignment="1">
      <alignment horizontal="right"/>
    </xf>
    <xf numFmtId="0" fontId="8" fillId="0" borderId="0" xfId="0" applyFont="1" applyAlignment="1"/>
    <xf numFmtId="164" fontId="8" fillId="0" borderId="0" xfId="0" applyNumberFormat="1" applyFont="1" applyAlignment="1"/>
    <xf numFmtId="164" fontId="9" fillId="0" borderId="0" xfId="0" applyNumberFormat="1" applyFont="1" applyAlignment="1"/>
    <xf numFmtId="164" fontId="10" fillId="9" borderId="4" xfId="0" applyNumberFormat="1" applyFont="1" applyFill="1" applyBorder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164" fontId="9" fillId="10" borderId="4" xfId="0" applyNumberFormat="1" applyFont="1" applyFill="1" applyBorder="1" applyAlignment="1"/>
    <xf numFmtId="164" fontId="9" fillId="3" borderId="0" xfId="0" applyNumberFormat="1" applyFont="1" applyFill="1" applyAlignment="1"/>
    <xf numFmtId="164" fontId="9" fillId="11" borderId="4" xfId="0" applyNumberFormat="1" applyFont="1" applyFill="1" applyBorder="1" applyAlignment="1"/>
    <xf numFmtId="164" fontId="9" fillId="12" borderId="4" xfId="0" applyNumberFormat="1" applyFont="1" applyFill="1" applyBorder="1" applyAlignment="1"/>
    <xf numFmtId="164" fontId="9" fillId="13" borderId="4" xfId="0" applyNumberFormat="1" applyFont="1" applyFill="1" applyBorder="1" applyAlignment="1"/>
    <xf numFmtId="0" fontId="11" fillId="0" borderId="0" xfId="0" applyFont="1" applyAlignment="1"/>
    <xf numFmtId="164" fontId="9" fillId="14" borderId="4" xfId="0" applyNumberFormat="1" applyFont="1" applyFill="1" applyBorder="1" applyAlignment="1"/>
    <xf numFmtId="164" fontId="10" fillId="15" borderId="4" xfId="0" applyNumberFormat="1" applyFont="1" applyFill="1" applyBorder="1" applyAlignment="1"/>
    <xf numFmtId="164" fontId="10" fillId="3" borderId="0" xfId="0" applyNumberFormat="1" applyFont="1" applyFill="1" applyAlignment="1"/>
    <xf numFmtId="164" fontId="9" fillId="0" borderId="4" xfId="0" applyNumberFormat="1" applyFont="1" applyBorder="1" applyAlignment="1"/>
    <xf numFmtId="164" fontId="10" fillId="16" borderId="4" xfId="0" applyNumberFormat="1" applyFont="1" applyFill="1" applyBorder="1" applyAlignment="1">
      <alignment horizontal="center" vertical="center"/>
    </xf>
    <xf numFmtId="164" fontId="10" fillId="16" borderId="4" xfId="0" applyNumberFormat="1" applyFont="1" applyFill="1" applyBorder="1" applyAlignment="1"/>
    <xf numFmtId="164" fontId="10" fillId="3" borderId="9" xfId="0" applyNumberFormat="1" applyFont="1" applyFill="1" applyBorder="1" applyAlignment="1"/>
    <xf numFmtId="165" fontId="3" fillId="0" borderId="0" xfId="0" applyNumberFormat="1" applyFont="1" applyAlignment="1"/>
    <xf numFmtId="2" fontId="3" fillId="0" borderId="0" xfId="0" applyNumberFormat="1" applyFont="1" applyAlignment="1"/>
    <xf numFmtId="44" fontId="6" fillId="0" borderId="0" xfId="0" applyNumberFormat="1" applyFont="1" applyAlignment="1"/>
    <xf numFmtId="0" fontId="3" fillId="0" borderId="0" xfId="0" applyFont="1" applyAlignment="1">
      <alignment horizontal="center" wrapText="1"/>
    </xf>
    <xf numFmtId="44" fontId="3" fillId="0" borderId="0" xfId="1" applyFont="1" applyAlignment="1" applyProtection="1"/>
    <xf numFmtId="0" fontId="16" fillId="20" borderId="20" xfId="0" applyFont="1" applyFill="1" applyBorder="1" applyAlignment="1"/>
    <xf numFmtId="0" fontId="16" fillId="20" borderId="22" xfId="0" applyFont="1" applyFill="1" applyBorder="1" applyAlignment="1"/>
    <xf numFmtId="2" fontId="15" fillId="22" borderId="0" xfId="1" applyNumberFormat="1" applyFont="1" applyFill="1" applyAlignment="1" applyProtection="1"/>
    <xf numFmtId="44" fontId="15" fillId="22" borderId="0" xfId="1" applyFont="1" applyFill="1" applyAlignment="1" applyProtection="1"/>
    <xf numFmtId="44" fontId="15" fillId="0" borderId="0" xfId="1" applyFont="1" applyAlignment="1" applyProtection="1"/>
    <xf numFmtId="0" fontId="15" fillId="19" borderId="29" xfId="0" applyFont="1" applyFill="1" applyBorder="1" applyAlignment="1">
      <alignment horizontal="center"/>
    </xf>
    <xf numFmtId="0" fontId="15" fillId="19" borderId="19" xfId="0" applyFont="1" applyFill="1" applyBorder="1" applyAlignment="1">
      <alignment horizontal="center"/>
    </xf>
    <xf numFmtId="0" fontId="6" fillId="5" borderId="33" xfId="0" applyFont="1" applyFill="1" applyBorder="1" applyAlignment="1">
      <alignment horizontal="center"/>
    </xf>
    <xf numFmtId="0" fontId="19" fillId="0" borderId="0" xfId="0" applyFont="1" applyAlignment="1"/>
    <xf numFmtId="2" fontId="19" fillId="0" borderId="0" xfId="0" applyNumberFormat="1" applyFont="1" applyAlignment="1"/>
    <xf numFmtId="164" fontId="19" fillId="0" borderId="0" xfId="0" applyNumberFormat="1" applyFont="1" applyAlignment="1"/>
    <xf numFmtId="0" fontId="19" fillId="5" borderId="11" xfId="0" applyFont="1" applyFill="1" applyBorder="1" applyAlignment="1">
      <alignment horizontal="center"/>
    </xf>
    <xf numFmtId="0" fontId="20" fillId="6" borderId="4" xfId="0" applyFont="1" applyFill="1" applyBorder="1" applyAlignment="1"/>
    <xf numFmtId="0" fontId="21" fillId="0" borderId="0" xfId="0" applyFont="1" applyAlignment="1"/>
    <xf numFmtId="164" fontId="21" fillId="0" borderId="0" xfId="0" applyNumberFormat="1" applyFont="1" applyAlignment="1"/>
    <xf numFmtId="2" fontId="19" fillId="7" borderId="0" xfId="0" applyNumberFormat="1" applyFont="1" applyFill="1" applyAlignment="1"/>
    <xf numFmtId="164" fontId="19" fillId="7" borderId="0" xfId="0" applyNumberFormat="1" applyFont="1" applyFill="1" applyAlignment="1"/>
    <xf numFmtId="0" fontId="3" fillId="0" borderId="20" xfId="0" applyFont="1" applyBorder="1" applyAlignment="1"/>
    <xf numFmtId="0" fontId="13" fillId="0" borderId="20" xfId="0" applyFont="1" applyBorder="1" applyAlignment="1"/>
    <xf numFmtId="1" fontId="3" fillId="0" borderId="20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3" fillId="17" borderId="20" xfId="0" applyFont="1" applyFill="1" applyBorder="1" applyAlignment="1"/>
    <xf numFmtId="0" fontId="3" fillId="17" borderId="20" xfId="0" applyFont="1" applyFill="1" applyBorder="1" applyAlignment="1">
      <alignment horizontal="center"/>
    </xf>
    <xf numFmtId="0" fontId="6" fillId="17" borderId="0" xfId="0" applyFont="1" applyFill="1" applyAlignment="1">
      <alignment horizont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5" fillId="6" borderId="4" xfId="0" applyFont="1" applyFill="1" applyBorder="1" applyAlignment="1">
      <alignment horizontal="left" vertical="center"/>
    </xf>
    <xf numFmtId="1" fontId="6" fillId="7" borderId="0" xfId="0" applyNumberFormat="1" applyFont="1" applyFill="1" applyAlignme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12" xfId="0" applyFont="1" applyBorder="1" applyAlignment="1"/>
    <xf numFmtId="0" fontId="5" fillId="0" borderId="0" xfId="0" applyFont="1" applyAlignment="1"/>
    <xf numFmtId="0" fontId="5" fillId="0" borderId="13" xfId="0" applyFont="1" applyBorder="1" applyAlignment="1"/>
    <xf numFmtId="0" fontId="12" fillId="3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12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2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center"/>
    </xf>
    <xf numFmtId="0" fontId="2" fillId="0" borderId="12" xfId="0" applyFont="1" applyBorder="1" applyAlignment="1"/>
    <xf numFmtId="0" fontId="2" fillId="0" borderId="0" xfId="0" applyFont="1" applyAlignment="1"/>
    <xf numFmtId="0" fontId="2" fillId="0" borderId="13" xfId="0" applyFont="1" applyBorder="1" applyAlignment="1"/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2" fillId="4" borderId="34" xfId="0" applyFont="1" applyFill="1" applyBorder="1" applyAlignment="1">
      <alignment horizontal="center"/>
    </xf>
    <xf numFmtId="0" fontId="12" fillId="4" borderId="35" xfId="0" applyFont="1" applyFill="1" applyBorder="1" applyAlignment="1">
      <alignment horizontal="center"/>
    </xf>
    <xf numFmtId="0" fontId="12" fillId="4" borderId="3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16" fillId="21" borderId="14" xfId="0" applyFont="1" applyFill="1" applyBorder="1" applyAlignment="1">
      <alignment horizontal="center"/>
    </xf>
    <xf numFmtId="0" fontId="16" fillId="21" borderId="15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4" fillId="18" borderId="14" xfId="0" applyFont="1" applyFill="1" applyBorder="1" applyAlignment="1">
      <alignment horizontal="center"/>
    </xf>
    <xf numFmtId="0" fontId="14" fillId="18" borderId="15" xfId="0" applyFont="1" applyFill="1" applyBorder="1" applyAlignment="1">
      <alignment horizontal="center"/>
    </xf>
    <xf numFmtId="0" fontId="14" fillId="18" borderId="16" xfId="0" applyFont="1" applyFill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2" fillId="0" borderId="31" xfId="0" applyFont="1" applyBorder="1" applyAlignment="1"/>
    <xf numFmtId="0" fontId="2" fillId="0" borderId="32" xfId="0" applyFont="1" applyBorder="1" applyAlignment="1"/>
    <xf numFmtId="0" fontId="14" fillId="8" borderId="14" xfId="0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0" fontId="14" fillId="8" borderId="16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0" borderId="2" xfId="0" applyFont="1" applyBorder="1" applyAlignment="1"/>
    <xf numFmtId="0" fontId="18" fillId="3" borderId="1" xfId="0" applyFont="1" applyFill="1" applyBorder="1" applyAlignment="1">
      <alignment horizontal="center"/>
    </xf>
    <xf numFmtId="0" fontId="18" fillId="0" borderId="3" xfId="0" applyFont="1" applyBorder="1" applyAlignment="1"/>
    <xf numFmtId="0" fontId="20" fillId="0" borderId="5" xfId="0" applyFont="1" applyBorder="1" applyAlignment="1">
      <alignment horizontal="center"/>
    </xf>
    <xf numFmtId="0" fontId="18" fillId="0" borderId="6" xfId="0" applyFont="1" applyBorder="1" applyAlignment="1"/>
    <xf numFmtId="0" fontId="18" fillId="0" borderId="7" xfId="0" applyFont="1" applyBorder="1" applyAlignment="1"/>
    <xf numFmtId="0" fontId="18" fillId="0" borderId="12" xfId="0" applyFont="1" applyBorder="1" applyAlignment="1"/>
    <xf numFmtId="0" fontId="18" fillId="0" borderId="0" xfId="0" applyFont="1" applyAlignment="1"/>
    <xf numFmtId="0" fontId="18" fillId="0" borderId="13" xfId="0" applyFont="1" applyBorder="1" applyAlignment="1"/>
    <xf numFmtId="0" fontId="20" fillId="2" borderId="1" xfId="0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166" fontId="6" fillId="0" borderId="37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0/cellImage" Target="NUL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6"/>
  <sheetViews>
    <sheetView topLeftCell="A8" workbookViewId="0">
      <selection activeCell="H17" sqref="H17:M17"/>
    </sheetView>
  </sheetViews>
  <sheetFormatPr baseColWidth="10" defaultColWidth="14" defaultRowHeight="15" customHeight="1" x14ac:dyDescent="0.25"/>
  <cols>
    <col min="1" max="1" width="4" customWidth="1"/>
    <col min="2" max="2" width="14.28515625" customWidth="1"/>
    <col min="3" max="3" width="8.7109375" customWidth="1"/>
    <col min="4" max="6" width="11.42578125" customWidth="1"/>
    <col min="7" max="7" width="16" customWidth="1"/>
    <col min="8" max="8" width="11.42578125" customWidth="1"/>
    <col min="9" max="9" width="14.7109375" customWidth="1"/>
    <col min="10" max="13" width="11.42578125" customWidth="1"/>
    <col min="14" max="14" width="10" customWidth="1"/>
  </cols>
  <sheetData>
    <row r="1" spans="1:14" ht="33.75" x14ac:dyDescent="0.5">
      <c r="B1" s="84" t="s">
        <v>0</v>
      </c>
      <c r="C1" s="81"/>
      <c r="D1" s="81"/>
      <c r="E1" s="81"/>
      <c r="F1" s="81"/>
      <c r="G1" s="82"/>
      <c r="M1" s="1"/>
      <c r="N1" s="1"/>
    </row>
    <row r="2" spans="1:14" x14ac:dyDescent="0.25">
      <c r="B2" s="2" t="s">
        <v>1</v>
      </c>
      <c r="C2" s="83" t="s">
        <v>77</v>
      </c>
      <c r="D2" s="81"/>
      <c r="E2" s="81"/>
      <c r="F2" s="81"/>
      <c r="G2" s="82"/>
      <c r="M2" s="1"/>
      <c r="N2" s="1"/>
    </row>
    <row r="3" spans="1:14" x14ac:dyDescent="0.25">
      <c r="B3" s="2" t="s">
        <v>2</v>
      </c>
      <c r="C3" s="83" t="s">
        <v>78</v>
      </c>
      <c r="D3" s="81"/>
      <c r="E3" s="81"/>
      <c r="F3" s="81"/>
      <c r="G3" s="82"/>
      <c r="M3" s="1"/>
      <c r="N3" s="1"/>
    </row>
    <row r="4" spans="1:14" x14ac:dyDescent="0.25">
      <c r="B4" s="2" t="s">
        <v>3</v>
      </c>
      <c r="C4" s="83" t="s">
        <v>128</v>
      </c>
      <c r="D4" s="81"/>
      <c r="E4" s="81"/>
      <c r="F4" s="81"/>
      <c r="G4" s="82"/>
      <c r="M4" s="1"/>
      <c r="N4" s="1"/>
    </row>
    <row r="5" spans="1:14" x14ac:dyDescent="0.25">
      <c r="B5" s="85"/>
      <c r="C5" s="86"/>
      <c r="D5" s="86"/>
      <c r="E5" s="86"/>
      <c r="F5" s="86"/>
      <c r="G5" s="87"/>
      <c r="M5" s="1"/>
      <c r="N5" s="1"/>
    </row>
    <row r="6" spans="1:14" x14ac:dyDescent="0.25">
      <c r="B6" s="88"/>
      <c r="C6" s="89"/>
      <c r="D6" s="89"/>
      <c r="E6" s="89"/>
      <c r="F6" s="89"/>
      <c r="G6" s="90"/>
      <c r="M6" s="1"/>
      <c r="N6" s="1"/>
    </row>
    <row r="7" spans="1:14" x14ac:dyDescent="0.25">
      <c r="B7" s="104" t="s">
        <v>79</v>
      </c>
      <c r="C7" s="81"/>
      <c r="D7" s="81"/>
      <c r="E7" s="81"/>
      <c r="F7" s="81"/>
      <c r="G7" s="82"/>
      <c r="H7" s="3"/>
      <c r="I7" s="3"/>
      <c r="J7" s="3"/>
      <c r="K7" s="4"/>
      <c r="L7" s="3"/>
      <c r="M7" s="5"/>
      <c r="N7" s="5"/>
    </row>
    <row r="8" spans="1:14" x14ac:dyDescent="0.25">
      <c r="B8" s="108"/>
      <c r="C8" s="81"/>
      <c r="D8" s="81"/>
      <c r="E8" s="81"/>
      <c r="F8" s="81"/>
      <c r="G8" s="81"/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5"/>
    </row>
    <row r="9" spans="1:14" x14ac:dyDescent="0.25">
      <c r="B9" s="7" t="s">
        <v>12</v>
      </c>
      <c r="C9" s="105" t="s">
        <v>80</v>
      </c>
      <c r="D9" s="106"/>
      <c r="E9" s="106"/>
      <c r="F9" s="106"/>
      <c r="G9" s="107"/>
      <c r="I9" s="1">
        <v>100</v>
      </c>
      <c r="J9" s="1"/>
      <c r="K9" s="1"/>
      <c r="L9" s="1"/>
      <c r="M9" s="1">
        <f t="shared" ref="M9:M13" si="0">+I9+J9+K9+L9</f>
        <v>100</v>
      </c>
      <c r="N9" s="5"/>
    </row>
    <row r="10" spans="1:14" x14ac:dyDescent="0.25">
      <c r="B10" s="7" t="s">
        <v>13</v>
      </c>
      <c r="C10" s="105" t="s">
        <v>37</v>
      </c>
      <c r="D10" s="106"/>
      <c r="E10" s="106"/>
      <c r="F10" s="106"/>
      <c r="G10" s="107"/>
      <c r="I10" s="1">
        <v>100</v>
      </c>
      <c r="J10" s="1"/>
      <c r="K10" s="1"/>
      <c r="L10" s="1"/>
      <c r="M10" s="1">
        <f t="shared" si="0"/>
        <v>100</v>
      </c>
      <c r="N10" s="5"/>
    </row>
    <row r="11" spans="1:14" x14ac:dyDescent="0.25">
      <c r="B11" s="7" t="s">
        <v>16</v>
      </c>
      <c r="C11" s="105" t="s">
        <v>81</v>
      </c>
      <c r="D11" s="106"/>
      <c r="E11" s="106"/>
      <c r="F11" s="106"/>
      <c r="G11" s="107"/>
      <c r="I11" s="1">
        <v>100</v>
      </c>
      <c r="J11" s="1"/>
      <c r="K11" s="1"/>
      <c r="L11" s="1"/>
      <c r="M11" s="1">
        <f>+I11+J11+K11+L11</f>
        <v>100</v>
      </c>
      <c r="N11" s="5"/>
    </row>
    <row r="12" spans="1:14" x14ac:dyDescent="0.25">
      <c r="B12" s="7" t="s">
        <v>14</v>
      </c>
      <c r="C12" s="105" t="s">
        <v>82</v>
      </c>
      <c r="D12" s="106"/>
      <c r="E12" s="106"/>
      <c r="F12" s="106"/>
      <c r="G12" s="107"/>
      <c r="I12" s="1">
        <v>100</v>
      </c>
      <c r="J12" s="1"/>
      <c r="K12" s="1"/>
      <c r="L12" s="1"/>
      <c r="M12" s="1">
        <f t="shared" si="0"/>
        <v>100</v>
      </c>
      <c r="N12" s="5"/>
    </row>
    <row r="13" spans="1:14" x14ac:dyDescent="0.25">
      <c r="B13" s="7" t="s">
        <v>15</v>
      </c>
      <c r="C13" s="105" t="s">
        <v>83</v>
      </c>
      <c r="D13" s="106"/>
      <c r="E13" s="106"/>
      <c r="F13" s="106"/>
      <c r="G13" s="107"/>
      <c r="I13" s="1">
        <v>100</v>
      </c>
      <c r="J13" s="1"/>
      <c r="K13" s="1"/>
      <c r="L13" s="1"/>
      <c r="M13" s="1">
        <f t="shared" si="0"/>
        <v>100</v>
      </c>
      <c r="N13" s="5"/>
    </row>
    <row r="14" spans="1:14" x14ac:dyDescent="0.25">
      <c r="B14" s="74"/>
      <c r="C14" s="63"/>
      <c r="D14" s="63"/>
      <c r="E14" s="63"/>
      <c r="F14" s="63"/>
      <c r="G14" s="64"/>
      <c r="H14" s="68">
        <f t="shared" ref="H14:M14" si="1">SUM(H9:H13)</f>
        <v>0</v>
      </c>
      <c r="I14" s="8">
        <f t="shared" si="1"/>
        <v>500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500</v>
      </c>
      <c r="N14" s="5"/>
    </row>
    <row r="15" spans="1:14" x14ac:dyDescent="0.25">
      <c r="A15" s="10"/>
      <c r="B15" s="65"/>
      <c r="C15" s="11"/>
      <c r="D15" s="11"/>
      <c r="E15" s="11"/>
      <c r="F15" s="11"/>
      <c r="G15" s="66"/>
      <c r="H15" s="10"/>
      <c r="I15" s="10"/>
      <c r="J15" s="10"/>
      <c r="K15" s="10"/>
      <c r="L15" s="10"/>
      <c r="M15" s="1"/>
      <c r="N15" s="5"/>
    </row>
    <row r="16" spans="1:14" x14ac:dyDescent="0.25">
      <c r="A16" s="10"/>
      <c r="B16" s="11"/>
      <c r="C16" s="11"/>
      <c r="D16" s="11"/>
      <c r="E16" s="11"/>
      <c r="F16" s="11"/>
      <c r="G16" s="11"/>
      <c r="H16" s="10"/>
      <c r="I16" s="10"/>
      <c r="J16" s="10"/>
      <c r="K16" s="10"/>
      <c r="L16" s="10"/>
      <c r="M16" s="1"/>
      <c r="N16" s="5"/>
    </row>
    <row r="17" spans="1:14" x14ac:dyDescent="0.25">
      <c r="A17" s="10"/>
      <c r="B17" s="104" t="s">
        <v>89</v>
      </c>
      <c r="C17" s="81"/>
      <c r="D17" s="81"/>
      <c r="E17" s="81"/>
      <c r="F17" s="81"/>
      <c r="G17" s="82"/>
      <c r="H17" s="3"/>
      <c r="I17" s="3"/>
      <c r="J17" s="3"/>
      <c r="K17" s="4"/>
      <c r="L17" s="3"/>
      <c r="M17" s="5"/>
      <c r="N17" s="5"/>
    </row>
    <row r="18" spans="1:14" x14ac:dyDescent="0.25">
      <c r="A18" s="10"/>
      <c r="B18" s="108"/>
      <c r="C18" s="81"/>
      <c r="D18" s="81"/>
      <c r="E18" s="81"/>
      <c r="F18" s="81"/>
      <c r="G18" s="81"/>
      <c r="H18" s="6" t="s">
        <v>6</v>
      </c>
      <c r="I18" s="6" t="s">
        <v>7</v>
      </c>
      <c r="J18" s="6" t="s">
        <v>8</v>
      </c>
      <c r="K18" s="6" t="s">
        <v>9</v>
      </c>
      <c r="L18" s="6" t="s">
        <v>10</v>
      </c>
      <c r="M18" s="6" t="s">
        <v>11</v>
      </c>
      <c r="N18" s="5"/>
    </row>
    <row r="19" spans="1:14" ht="18" customHeight="1" x14ac:dyDescent="0.25">
      <c r="A19" s="10"/>
      <c r="B19" s="7" t="s">
        <v>12</v>
      </c>
      <c r="C19" s="112" t="s">
        <v>88</v>
      </c>
      <c r="D19" s="113"/>
      <c r="E19" s="113"/>
      <c r="F19" s="113"/>
      <c r="G19" s="114"/>
      <c r="I19" s="1">
        <v>100</v>
      </c>
      <c r="J19" s="1"/>
      <c r="K19" s="1"/>
      <c r="L19" s="1"/>
      <c r="M19" s="1">
        <f t="shared" ref="M19:M23" si="2">+I19+J19+K19+L19</f>
        <v>100</v>
      </c>
      <c r="N19" s="5"/>
    </row>
    <row r="20" spans="1:14" ht="18" customHeight="1" x14ac:dyDescent="0.25">
      <c r="A20" s="10"/>
      <c r="B20" s="7" t="s">
        <v>13</v>
      </c>
      <c r="C20" s="112" t="s">
        <v>84</v>
      </c>
      <c r="D20" s="113"/>
      <c r="E20" s="113"/>
      <c r="F20" s="113"/>
      <c r="G20" s="114"/>
      <c r="I20" s="1">
        <v>100</v>
      </c>
      <c r="J20" s="1"/>
      <c r="K20" s="1"/>
      <c r="L20" s="1"/>
      <c r="M20" s="1">
        <f t="shared" si="2"/>
        <v>100</v>
      </c>
      <c r="N20" s="5"/>
    </row>
    <row r="21" spans="1:14" x14ac:dyDescent="0.25">
      <c r="A21" s="10"/>
      <c r="B21" s="7" t="s">
        <v>14</v>
      </c>
      <c r="C21" s="112" t="s">
        <v>85</v>
      </c>
      <c r="D21" s="113"/>
      <c r="E21" s="113"/>
      <c r="F21" s="113"/>
      <c r="G21" s="114"/>
      <c r="I21" s="1">
        <v>100</v>
      </c>
      <c r="J21" s="1"/>
      <c r="K21" s="1"/>
      <c r="L21" s="1"/>
      <c r="M21" s="1">
        <f t="shared" si="2"/>
        <v>100</v>
      </c>
      <c r="N21" s="5"/>
    </row>
    <row r="22" spans="1:14" ht="15" customHeight="1" x14ac:dyDescent="0.25">
      <c r="A22" s="10"/>
      <c r="B22" s="7" t="s">
        <v>15</v>
      </c>
      <c r="C22" s="112" t="s">
        <v>86</v>
      </c>
      <c r="D22" s="113"/>
      <c r="E22" s="113"/>
      <c r="F22" s="113"/>
      <c r="G22" s="114"/>
      <c r="I22" s="1">
        <v>100</v>
      </c>
      <c r="J22" s="1"/>
      <c r="K22" s="1"/>
      <c r="L22" s="1"/>
      <c r="M22" s="1">
        <f t="shared" si="2"/>
        <v>100</v>
      </c>
      <c r="N22" s="5"/>
    </row>
    <row r="23" spans="1:14" x14ac:dyDescent="0.25">
      <c r="A23" s="10"/>
      <c r="B23" s="7" t="s">
        <v>16</v>
      </c>
      <c r="C23" s="112" t="s">
        <v>87</v>
      </c>
      <c r="D23" s="113"/>
      <c r="E23" s="113"/>
      <c r="F23" s="113"/>
      <c r="G23" s="114"/>
      <c r="I23" s="1">
        <v>100</v>
      </c>
      <c r="J23" s="1"/>
      <c r="K23" s="1"/>
      <c r="L23" s="1"/>
      <c r="M23" s="1">
        <f t="shared" si="2"/>
        <v>100</v>
      </c>
      <c r="N23" s="5"/>
    </row>
    <row r="24" spans="1:14" x14ac:dyDescent="0.25">
      <c r="A24" s="10"/>
      <c r="B24" s="74"/>
      <c r="C24" s="63"/>
      <c r="D24" s="63"/>
      <c r="E24" s="63"/>
      <c r="F24" s="63"/>
      <c r="G24" s="64"/>
      <c r="H24" s="68">
        <f>SUM(H19:H23)</f>
        <v>0</v>
      </c>
      <c r="I24" s="8">
        <f>SUM(I19:I23)</f>
        <v>500</v>
      </c>
      <c r="J24" s="9">
        <f t="shared" ref="J24:K24" si="3">SUM(J19:J23)</f>
        <v>0</v>
      </c>
      <c r="K24" s="9">
        <f t="shared" si="3"/>
        <v>0</v>
      </c>
      <c r="L24" s="9">
        <f>SUM(L19:L23)</f>
        <v>0</v>
      </c>
      <c r="M24" s="9">
        <f>SUM(M19:M23)</f>
        <v>500</v>
      </c>
      <c r="N24" s="5"/>
    </row>
    <row r="25" spans="1:14" x14ac:dyDescent="0.25">
      <c r="A25" s="10"/>
      <c r="B25" s="65"/>
      <c r="C25" s="11"/>
      <c r="D25" s="11"/>
      <c r="E25" s="11"/>
      <c r="F25" s="11"/>
      <c r="G25" s="66"/>
      <c r="H25" s="10"/>
      <c r="I25" s="10"/>
      <c r="J25" s="10"/>
      <c r="K25" s="10"/>
      <c r="L25" s="10"/>
      <c r="M25" s="1"/>
      <c r="N25" s="5"/>
    </row>
    <row r="26" spans="1:14" x14ac:dyDescent="0.25">
      <c r="A26" s="10"/>
      <c r="B26" s="11"/>
      <c r="C26" s="11"/>
      <c r="D26" s="11"/>
      <c r="E26" s="11"/>
      <c r="F26" s="11"/>
      <c r="G26" s="11"/>
      <c r="H26" s="10"/>
      <c r="I26" s="10"/>
      <c r="J26" s="10"/>
      <c r="K26" s="10"/>
      <c r="L26" s="10"/>
      <c r="M26" s="1"/>
      <c r="N26" s="5"/>
    </row>
    <row r="27" spans="1:14" x14ac:dyDescent="0.25">
      <c r="A27" s="10"/>
      <c r="B27" s="104" t="s">
        <v>95</v>
      </c>
      <c r="C27" s="81"/>
      <c r="D27" s="81"/>
      <c r="E27" s="81"/>
      <c r="F27" s="81"/>
      <c r="G27" s="82"/>
      <c r="H27" s="3" t="s">
        <v>5</v>
      </c>
      <c r="I27" s="3"/>
      <c r="J27" s="3"/>
      <c r="K27" s="4">
        <f>+H34</f>
        <v>703</v>
      </c>
      <c r="L27" s="3">
        <f>+K27/33</f>
        <v>21.303030303030305</v>
      </c>
      <c r="M27" s="5">
        <f>+L27*28</f>
        <v>596.4848484848485</v>
      </c>
      <c r="N27" s="5"/>
    </row>
    <row r="28" spans="1:14" x14ac:dyDescent="0.25">
      <c r="A28" s="10"/>
      <c r="B28" s="108"/>
      <c r="C28" s="81"/>
      <c r="D28" s="81"/>
      <c r="E28" s="81"/>
      <c r="F28" s="81"/>
      <c r="G28" s="81"/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11</v>
      </c>
      <c r="N28" s="5"/>
    </row>
    <row r="29" spans="1:14" ht="29.1" customHeight="1" x14ac:dyDescent="0.25">
      <c r="B29" s="67" t="s">
        <v>12</v>
      </c>
      <c r="C29" s="101" t="s">
        <v>90</v>
      </c>
      <c r="D29" s="102"/>
      <c r="E29" s="102"/>
      <c r="F29" s="102"/>
      <c r="G29" s="103"/>
      <c r="H29">
        <v>145</v>
      </c>
      <c r="I29" s="1">
        <f>+H29/33*28</f>
        <v>123.03030303030302</v>
      </c>
      <c r="J29" s="1"/>
      <c r="K29" s="1"/>
      <c r="L29" s="1">
        <v>50</v>
      </c>
      <c r="M29" s="1">
        <f t="shared" ref="M29:M33" si="4">+I29+J29+K29+L29</f>
        <v>173.030303030303</v>
      </c>
      <c r="N29" s="5"/>
    </row>
    <row r="30" spans="1:14" ht="27.95" customHeight="1" x14ac:dyDescent="0.25">
      <c r="A30" s="10"/>
      <c r="B30" s="67" t="s">
        <v>13</v>
      </c>
      <c r="C30" s="101" t="s">
        <v>91</v>
      </c>
      <c r="D30" s="102"/>
      <c r="E30" s="102"/>
      <c r="F30" s="102"/>
      <c r="G30" s="103"/>
      <c r="H30">
        <v>142</v>
      </c>
      <c r="I30" s="1">
        <f t="shared" ref="I30:I33" si="5">+H30/33*28</f>
        <v>120.48484848484847</v>
      </c>
      <c r="J30" s="1"/>
      <c r="K30" s="1"/>
      <c r="L30" s="1">
        <v>50</v>
      </c>
      <c r="M30" s="1">
        <f t="shared" si="4"/>
        <v>170.48484848484847</v>
      </c>
      <c r="N30" s="5"/>
    </row>
    <row r="31" spans="1:14" ht="18.95" customHeight="1" x14ac:dyDescent="0.25">
      <c r="A31" s="10"/>
      <c r="B31" s="67" t="s">
        <v>14</v>
      </c>
      <c r="C31" s="101" t="s">
        <v>92</v>
      </c>
      <c r="D31" s="102"/>
      <c r="E31" s="102"/>
      <c r="F31" s="102"/>
      <c r="G31" s="103"/>
      <c r="H31">
        <v>139</v>
      </c>
      <c r="I31" s="1">
        <f t="shared" si="5"/>
        <v>117.93939393939394</v>
      </c>
      <c r="J31" s="1"/>
      <c r="K31" s="1"/>
      <c r="L31" s="1">
        <v>50</v>
      </c>
      <c r="M31" s="1">
        <f t="shared" si="4"/>
        <v>167.93939393939394</v>
      </c>
      <c r="N31" s="5"/>
    </row>
    <row r="32" spans="1:14" ht="18.95" customHeight="1" x14ac:dyDescent="0.25">
      <c r="A32" s="10"/>
      <c r="B32" s="67" t="s">
        <v>15</v>
      </c>
      <c r="C32" s="101" t="s">
        <v>93</v>
      </c>
      <c r="D32" s="102"/>
      <c r="E32" s="102"/>
      <c r="F32" s="102"/>
      <c r="G32" s="103"/>
      <c r="H32">
        <v>152</v>
      </c>
      <c r="I32" s="1">
        <f t="shared" si="5"/>
        <v>128.96969696969697</v>
      </c>
      <c r="J32" s="1"/>
      <c r="K32" s="1"/>
      <c r="L32" s="1">
        <v>50</v>
      </c>
      <c r="M32" s="1">
        <f t="shared" si="4"/>
        <v>178.96969696969697</v>
      </c>
      <c r="N32" s="5"/>
    </row>
    <row r="33" spans="1:14" x14ac:dyDescent="0.25">
      <c r="A33" s="10"/>
      <c r="B33" s="67" t="s">
        <v>16</v>
      </c>
      <c r="C33" s="101" t="s">
        <v>94</v>
      </c>
      <c r="D33" s="102"/>
      <c r="E33" s="102"/>
      <c r="F33" s="102"/>
      <c r="G33" s="103"/>
      <c r="H33">
        <v>125</v>
      </c>
      <c r="I33" s="1">
        <f t="shared" si="5"/>
        <v>106.06060606060606</v>
      </c>
      <c r="J33" s="1"/>
      <c r="K33" s="1"/>
      <c r="L33" s="1">
        <v>50</v>
      </c>
      <c r="M33" s="1">
        <f t="shared" si="4"/>
        <v>156.06060606060606</v>
      </c>
      <c r="N33" s="5"/>
    </row>
    <row r="34" spans="1:14" x14ac:dyDescent="0.25">
      <c r="A34" s="10"/>
      <c r="B34" s="74"/>
      <c r="C34" s="75"/>
      <c r="D34" s="75"/>
      <c r="E34" s="75"/>
      <c r="F34" s="75"/>
      <c r="G34" s="76"/>
      <c r="H34" s="68">
        <f>SUM(H29:H33)</f>
        <v>703</v>
      </c>
      <c r="I34" s="8">
        <f>SUM(I29:I33)</f>
        <v>596.4848484848485</v>
      </c>
      <c r="J34" s="9">
        <f t="shared" ref="J34:K34" si="6">SUM(J29:J33)</f>
        <v>0</v>
      </c>
      <c r="K34" s="9">
        <f t="shared" si="6"/>
        <v>0</v>
      </c>
      <c r="L34" s="9">
        <f>SUM(L29:L33)</f>
        <v>250</v>
      </c>
      <c r="M34" s="9">
        <f>SUM(M29:M33)</f>
        <v>846.4848484848485</v>
      </c>
      <c r="N34" s="5"/>
    </row>
    <row r="35" spans="1:14" x14ac:dyDescent="0.25">
      <c r="A35" s="10"/>
      <c r="B35" s="77"/>
      <c r="C35" s="78"/>
      <c r="D35" s="78"/>
      <c r="E35" s="78"/>
      <c r="F35" s="78"/>
      <c r="G35" s="79"/>
      <c r="H35" s="10"/>
      <c r="I35" s="10"/>
      <c r="J35" s="10"/>
      <c r="K35" s="10"/>
      <c r="L35" s="10"/>
      <c r="M35" s="1"/>
      <c r="N35" s="5"/>
    </row>
    <row r="36" spans="1:14" x14ac:dyDescent="0.25">
      <c r="A36" s="10"/>
      <c r="B36" s="11"/>
      <c r="C36" s="11"/>
      <c r="D36" s="11"/>
      <c r="E36" s="11"/>
      <c r="F36" s="11"/>
      <c r="G36" s="11"/>
      <c r="H36" s="10"/>
      <c r="I36" s="10"/>
      <c r="J36" s="10"/>
      <c r="K36" s="10"/>
      <c r="L36" s="10"/>
      <c r="M36" s="1"/>
      <c r="N36" s="5"/>
    </row>
    <row r="37" spans="1:14" x14ac:dyDescent="0.25">
      <c r="A37" s="10"/>
      <c r="B37" s="104" t="s">
        <v>96</v>
      </c>
      <c r="C37" s="81"/>
      <c r="D37" s="81"/>
      <c r="E37" s="81"/>
      <c r="F37" s="81"/>
      <c r="G37" s="82"/>
      <c r="H37" s="3" t="s">
        <v>5</v>
      </c>
      <c r="I37" s="3"/>
      <c r="J37" s="3"/>
      <c r="K37" s="4">
        <f>+H44</f>
        <v>434</v>
      </c>
      <c r="L37" s="3">
        <f>+K37/33</f>
        <v>13.151515151515152</v>
      </c>
      <c r="M37" s="5">
        <f>+L37*28</f>
        <v>368.24242424242425</v>
      </c>
      <c r="N37" s="5"/>
    </row>
    <row r="38" spans="1:14" x14ac:dyDescent="0.25">
      <c r="A38" s="10"/>
      <c r="B38" s="108"/>
      <c r="C38" s="81"/>
      <c r="D38" s="81"/>
      <c r="E38" s="81"/>
      <c r="F38" s="81"/>
      <c r="G38" s="81"/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5"/>
    </row>
    <row r="39" spans="1:14" x14ac:dyDescent="0.25">
      <c r="A39" s="10"/>
      <c r="B39" s="7" t="s">
        <v>12</v>
      </c>
      <c r="C39" s="101" t="s">
        <v>97</v>
      </c>
      <c r="D39" s="102"/>
      <c r="E39" s="102"/>
      <c r="F39" s="102"/>
      <c r="G39" s="103"/>
      <c r="H39" s="73">
        <v>75</v>
      </c>
      <c r="I39" s="1">
        <f>+H39/33*28</f>
        <v>63.63636363636364</v>
      </c>
      <c r="J39" s="1">
        <v>125</v>
      </c>
      <c r="K39" s="1"/>
      <c r="L39" s="1">
        <v>85</v>
      </c>
      <c r="M39" s="1">
        <f t="shared" ref="M39:M43" si="7">+I39+J39+K39+L39</f>
        <v>273.63636363636363</v>
      </c>
      <c r="N39" s="5"/>
    </row>
    <row r="40" spans="1:14" x14ac:dyDescent="0.25">
      <c r="A40" s="10"/>
      <c r="B40" s="7" t="s">
        <v>13</v>
      </c>
      <c r="C40" s="101" t="s">
        <v>98</v>
      </c>
      <c r="D40" s="102"/>
      <c r="E40" s="102"/>
      <c r="F40" s="102"/>
      <c r="G40" s="103"/>
      <c r="H40" s="73">
        <v>57</v>
      </c>
      <c r="I40" s="1">
        <f t="shared" ref="I40:I43" si="8">+H40/33*28</f>
        <v>48.363636363636367</v>
      </c>
      <c r="J40" s="1">
        <v>125</v>
      </c>
      <c r="K40" s="1"/>
      <c r="L40" s="1">
        <v>120</v>
      </c>
      <c r="M40" s="1">
        <f t="shared" si="7"/>
        <v>293.36363636363637</v>
      </c>
      <c r="N40" s="5"/>
    </row>
    <row r="41" spans="1:14" x14ac:dyDescent="0.25">
      <c r="A41" s="10"/>
      <c r="B41" s="7" t="s">
        <v>14</v>
      </c>
      <c r="C41" s="101" t="s">
        <v>99</v>
      </c>
      <c r="D41" s="102"/>
      <c r="E41" s="102"/>
      <c r="F41" s="102"/>
      <c r="G41" s="103"/>
      <c r="H41" s="73">
        <v>112</v>
      </c>
      <c r="I41" s="1">
        <f t="shared" si="8"/>
        <v>95.030303030303031</v>
      </c>
      <c r="J41" s="1">
        <v>125</v>
      </c>
      <c r="K41" s="1"/>
      <c r="L41" s="1">
        <v>120</v>
      </c>
      <c r="M41" s="1">
        <f t="shared" si="7"/>
        <v>340.030303030303</v>
      </c>
      <c r="N41" s="5"/>
    </row>
    <row r="42" spans="1:14" x14ac:dyDescent="0.25">
      <c r="A42" s="10"/>
      <c r="B42" s="7" t="s">
        <v>15</v>
      </c>
      <c r="C42" s="101" t="s">
        <v>100</v>
      </c>
      <c r="D42" s="102"/>
      <c r="E42" s="102"/>
      <c r="F42" s="102"/>
      <c r="G42" s="103"/>
      <c r="H42" s="73">
        <v>80</v>
      </c>
      <c r="I42" s="1">
        <f t="shared" si="8"/>
        <v>67.878787878787875</v>
      </c>
      <c r="J42" s="1">
        <v>125</v>
      </c>
      <c r="K42" s="1"/>
      <c r="L42" s="1">
        <v>120</v>
      </c>
      <c r="M42" s="1">
        <f t="shared" si="7"/>
        <v>312.87878787878788</v>
      </c>
      <c r="N42" s="5"/>
    </row>
    <row r="43" spans="1:14" s="69" customFormat="1" ht="36.950000000000003" customHeight="1" x14ac:dyDescent="0.25">
      <c r="A43" s="70"/>
      <c r="B43" s="67" t="s">
        <v>16</v>
      </c>
      <c r="C43" s="109" t="s">
        <v>101</v>
      </c>
      <c r="D43" s="110"/>
      <c r="E43" s="110"/>
      <c r="F43" s="110"/>
      <c r="G43" s="111"/>
      <c r="H43" s="73">
        <v>110</v>
      </c>
      <c r="I43" s="71">
        <f t="shared" si="8"/>
        <v>93.333333333333343</v>
      </c>
      <c r="J43" s="71"/>
      <c r="K43" s="71"/>
      <c r="L43" s="71">
        <v>85</v>
      </c>
      <c r="M43" s="71">
        <f t="shared" si="7"/>
        <v>178.33333333333334</v>
      </c>
      <c r="N43" s="72"/>
    </row>
    <row r="44" spans="1:14" x14ac:dyDescent="0.25">
      <c r="A44" s="10"/>
      <c r="B44" s="74"/>
      <c r="C44" s="63"/>
      <c r="D44" s="63"/>
      <c r="E44" s="63"/>
      <c r="F44" s="63"/>
      <c r="G44" s="64"/>
      <c r="H44" s="68">
        <f>SUM(H39:H43)</f>
        <v>434</v>
      </c>
      <c r="I44" s="8">
        <f>SUM(I39:I43)</f>
        <v>368.24242424242425</v>
      </c>
      <c r="J44" s="9">
        <f t="shared" ref="J44:K44" si="9">SUM(J39:J43)</f>
        <v>500</v>
      </c>
      <c r="K44" s="9">
        <f t="shared" si="9"/>
        <v>0</v>
      </c>
      <c r="L44" s="9">
        <f>SUM(L39:L43)</f>
        <v>530</v>
      </c>
      <c r="M44" s="9">
        <f>SUM(M39:M43)</f>
        <v>1398.2424242424242</v>
      </c>
      <c r="N44" s="5"/>
    </row>
    <row r="45" spans="1:14" x14ac:dyDescent="0.25">
      <c r="A45" s="10"/>
      <c r="B45" s="65"/>
      <c r="C45" s="11"/>
      <c r="D45" s="11"/>
      <c r="E45" s="11"/>
      <c r="F45" s="11"/>
      <c r="G45" s="66"/>
      <c r="H45" s="10"/>
      <c r="I45" s="10"/>
      <c r="J45" s="10"/>
      <c r="K45" s="10"/>
      <c r="L45" s="10"/>
      <c r="M45" s="1"/>
      <c r="N45" s="5"/>
    </row>
    <row r="46" spans="1:14" x14ac:dyDescent="0.25">
      <c r="A46" s="10"/>
      <c r="B46" s="12" t="s">
        <v>71</v>
      </c>
      <c r="C46" s="12" t="s">
        <v>72</v>
      </c>
      <c r="D46" s="11"/>
      <c r="E46" s="11"/>
      <c r="F46" s="11"/>
      <c r="G46" s="11"/>
      <c r="H46" s="10"/>
      <c r="I46" s="10"/>
      <c r="J46" s="10"/>
      <c r="K46" s="10"/>
      <c r="L46" s="10"/>
      <c r="M46" s="1"/>
      <c r="N46" s="5"/>
    </row>
    <row r="47" spans="1:14" ht="15.75" customHeight="1" x14ac:dyDescent="0.25">
      <c r="C47" s="3" t="s">
        <v>73</v>
      </c>
      <c r="E47" s="1"/>
      <c r="F47" s="1"/>
    </row>
    <row r="48" spans="1:14" ht="15.75" customHeight="1" x14ac:dyDescent="0.25">
      <c r="C48" s="3" t="s">
        <v>74</v>
      </c>
      <c r="E48" s="1"/>
      <c r="F48" s="1"/>
    </row>
    <row r="49" spans="3:14" ht="15.75" customHeight="1" x14ac:dyDescent="0.25">
      <c r="C49" s="3" t="s">
        <v>75</v>
      </c>
      <c r="E49" s="1"/>
      <c r="F49" s="1"/>
    </row>
    <row r="50" spans="3:14" ht="15.75" customHeight="1" x14ac:dyDescent="0.25">
      <c r="C50" s="3"/>
      <c r="E50" s="1"/>
      <c r="F50" s="1"/>
    </row>
    <row r="51" spans="3:14" ht="15.75" customHeight="1" x14ac:dyDescent="0.25">
      <c r="C51" s="3"/>
      <c r="E51" s="1"/>
      <c r="F51" s="1"/>
    </row>
    <row r="52" spans="3:14" ht="15.75" customHeight="1" x14ac:dyDescent="0.25">
      <c r="C52" s="3"/>
      <c r="E52" s="1"/>
      <c r="F52" s="1"/>
    </row>
    <row r="53" spans="3:14" ht="15.75" customHeight="1" x14ac:dyDescent="0.25">
      <c r="M53" s="1"/>
      <c r="N53" s="1"/>
    </row>
    <row r="54" spans="3:14" ht="15.75" customHeight="1" x14ac:dyDescent="0.25">
      <c r="M54" s="1"/>
      <c r="N54" s="1"/>
    </row>
    <row r="55" spans="3:14" ht="15.75" customHeight="1" x14ac:dyDescent="0.25">
      <c r="I55" s="13"/>
      <c r="M55" s="1"/>
      <c r="N55" s="1"/>
    </row>
    <row r="56" spans="3:14" ht="15.75" customHeight="1" x14ac:dyDescent="0.25"/>
    <row r="57" spans="3:14" ht="15.75" customHeight="1" x14ac:dyDescent="0.25"/>
    <row r="58" spans="3:14" ht="15.75" customHeight="1" x14ac:dyDescent="0.25"/>
    <row r="59" spans="3:14" ht="15.75" customHeight="1" x14ac:dyDescent="0.25"/>
    <row r="60" spans="3:14" ht="15.75" customHeight="1" x14ac:dyDescent="0.25"/>
    <row r="61" spans="3:14" ht="15.75" customHeight="1" x14ac:dyDescent="0.25"/>
    <row r="62" spans="3:14" ht="15.75" customHeight="1" x14ac:dyDescent="0.25"/>
    <row r="63" spans="3:14" ht="15.75" customHeight="1" x14ac:dyDescent="0.25"/>
    <row r="64" spans="3:14" ht="15.75" customHeight="1" x14ac:dyDescent="0.25"/>
    <row r="65" spans="13:14" ht="15.75" customHeight="1" x14ac:dyDescent="0.25"/>
    <row r="66" spans="13:14" ht="15.75" customHeight="1" x14ac:dyDescent="0.25"/>
    <row r="67" spans="13:14" ht="15.75" customHeight="1" x14ac:dyDescent="0.25"/>
    <row r="68" spans="13:14" ht="15.75" customHeight="1" x14ac:dyDescent="0.25"/>
    <row r="69" spans="13:14" ht="15.75" customHeight="1" x14ac:dyDescent="0.25">
      <c r="M69" s="1"/>
      <c r="N69" s="1"/>
    </row>
    <row r="70" spans="13:14" ht="15.75" customHeight="1" x14ac:dyDescent="0.25">
      <c r="M70" s="1"/>
      <c r="N70" s="1"/>
    </row>
    <row r="71" spans="13:14" ht="15.75" customHeight="1" x14ac:dyDescent="0.25">
      <c r="M71" s="1"/>
      <c r="N71" s="1"/>
    </row>
    <row r="72" spans="13:14" ht="15.75" customHeight="1" x14ac:dyDescent="0.25"/>
    <row r="73" spans="13:14" ht="15.75" customHeight="1" x14ac:dyDescent="0.25"/>
    <row r="74" spans="13:14" ht="15.75" customHeight="1" x14ac:dyDescent="0.25"/>
    <row r="75" spans="13:14" ht="15.75" customHeight="1" x14ac:dyDescent="0.25">
      <c r="M75" s="1"/>
      <c r="N75" s="1"/>
    </row>
    <row r="76" spans="13:14" ht="15.75" customHeight="1" x14ac:dyDescent="0.25">
      <c r="M76" s="1"/>
      <c r="N76" s="1"/>
    </row>
    <row r="77" spans="13:14" ht="15.75" customHeight="1" x14ac:dyDescent="0.25">
      <c r="M77" s="1"/>
      <c r="N77" s="1"/>
    </row>
    <row r="78" spans="13:14" ht="15.75" customHeight="1" x14ac:dyDescent="0.25">
      <c r="M78" s="1"/>
      <c r="N78" s="1"/>
    </row>
    <row r="79" spans="13:14" ht="15.75" customHeight="1" x14ac:dyDescent="0.25">
      <c r="M79" s="1"/>
      <c r="N79" s="1"/>
    </row>
    <row r="80" spans="1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  <row r="93" spans="13:14" ht="15.75" customHeight="1" x14ac:dyDescent="0.25">
      <c r="M93" s="1"/>
      <c r="N93" s="1"/>
    </row>
    <row r="94" spans="13:14" ht="15.75" customHeight="1" x14ac:dyDescent="0.25">
      <c r="M94" s="1"/>
      <c r="N94" s="1"/>
    </row>
    <row r="95" spans="13:14" ht="15.75" customHeight="1" x14ac:dyDescent="0.25">
      <c r="M95" s="1"/>
      <c r="N95" s="1"/>
    </row>
    <row r="96" spans="13:14" ht="15.75" customHeight="1" x14ac:dyDescent="0.25">
      <c r="M96" s="1"/>
      <c r="N96" s="1"/>
    </row>
  </sheetData>
  <mergeCells count="33">
    <mergeCell ref="B1:G1"/>
    <mergeCell ref="C2:G2"/>
    <mergeCell ref="C20:G20"/>
    <mergeCell ref="C4:G4"/>
    <mergeCell ref="C3:G3"/>
    <mergeCell ref="B17:G17"/>
    <mergeCell ref="C11:G11"/>
    <mergeCell ref="C12:G12"/>
    <mergeCell ref="C13:G13"/>
    <mergeCell ref="C10:G10"/>
    <mergeCell ref="B5:G6"/>
    <mergeCell ref="B7:G7"/>
    <mergeCell ref="C40:G40"/>
    <mergeCell ref="C39:G39"/>
    <mergeCell ref="C23:G23"/>
    <mergeCell ref="B8:G8"/>
    <mergeCell ref="C19:G19"/>
    <mergeCell ref="C31:G31"/>
    <mergeCell ref="B27:G27"/>
    <mergeCell ref="C9:G9"/>
    <mergeCell ref="B18:G18"/>
    <mergeCell ref="C43:G43"/>
    <mergeCell ref="B28:G28"/>
    <mergeCell ref="C29:G29"/>
    <mergeCell ref="C30:G30"/>
    <mergeCell ref="C41:G41"/>
    <mergeCell ref="B37:G37"/>
    <mergeCell ref="C21:G21"/>
    <mergeCell ref="C22:G22"/>
    <mergeCell ref="C42:G42"/>
    <mergeCell ref="C32:G32"/>
    <mergeCell ref="B38:G38"/>
    <mergeCell ref="C33:G33"/>
  </mergeCells>
  <pageMargins left="0.23622047244094491" right="0.23622047244094491" top="0.74803149606299213" bottom="0.74803149606299213" header="0" footer="0"/>
  <pageSetup paperSize="9" scale="8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5"/>
  <sheetViews>
    <sheetView topLeftCell="C31" workbookViewId="0">
      <selection activeCell="I44" sqref="I44"/>
    </sheetView>
  </sheetViews>
  <sheetFormatPr baseColWidth="10" defaultColWidth="14" defaultRowHeight="15" customHeight="1" x14ac:dyDescent="0.25"/>
  <cols>
    <col min="1" max="1" width="4" customWidth="1"/>
    <col min="2" max="2" width="14.28515625" customWidth="1"/>
    <col min="3" max="3" width="8.7109375" customWidth="1"/>
    <col min="4" max="5" width="11.42578125" customWidth="1"/>
    <col min="6" max="6" width="11.85546875" customWidth="1"/>
    <col min="7" max="7" width="21.7109375" customWidth="1"/>
    <col min="8" max="8" width="11.42578125" customWidth="1"/>
    <col min="9" max="9" width="15.140625" customWidth="1"/>
    <col min="10" max="13" width="11.42578125" customWidth="1"/>
    <col min="14" max="14" width="10" customWidth="1"/>
  </cols>
  <sheetData>
    <row r="1" spans="1:14" ht="33.75" x14ac:dyDescent="0.5">
      <c r="B1" s="84" t="s">
        <v>0</v>
      </c>
      <c r="C1" s="81"/>
      <c r="D1" s="81"/>
      <c r="E1" s="81"/>
      <c r="F1" s="81"/>
      <c r="G1" s="82"/>
      <c r="M1" s="1"/>
      <c r="N1" s="1"/>
    </row>
    <row r="2" spans="1:14" x14ac:dyDescent="0.25">
      <c r="B2" s="2" t="s">
        <v>1</v>
      </c>
      <c r="C2" s="119" t="s">
        <v>102</v>
      </c>
      <c r="D2" s="120"/>
      <c r="E2" s="120"/>
      <c r="F2" s="120"/>
      <c r="G2" s="121"/>
      <c r="M2" s="1"/>
      <c r="N2" s="1"/>
    </row>
    <row r="3" spans="1:14" x14ac:dyDescent="0.25">
      <c r="B3" s="2" t="s">
        <v>2</v>
      </c>
      <c r="C3" s="119" t="s">
        <v>103</v>
      </c>
      <c r="D3" s="120"/>
      <c r="E3" s="120"/>
      <c r="F3" s="120"/>
      <c r="G3" s="121"/>
      <c r="M3" s="1"/>
      <c r="N3" s="1"/>
    </row>
    <row r="4" spans="1:14" x14ac:dyDescent="0.25">
      <c r="B4" s="2" t="s">
        <v>3</v>
      </c>
      <c r="C4" s="119" t="s">
        <v>76</v>
      </c>
      <c r="D4" s="120"/>
      <c r="E4" s="120"/>
      <c r="F4" s="120"/>
      <c r="G4" s="121"/>
      <c r="M4" s="1"/>
      <c r="N4" s="1"/>
    </row>
    <row r="5" spans="1:14" x14ac:dyDescent="0.25">
      <c r="B5" s="85"/>
      <c r="C5" s="86"/>
      <c r="D5" s="86"/>
      <c r="E5" s="86"/>
      <c r="F5" s="86"/>
      <c r="G5" s="87"/>
      <c r="M5" s="1"/>
      <c r="N5" s="1"/>
    </row>
    <row r="6" spans="1:14" x14ac:dyDescent="0.25">
      <c r="B6" s="88"/>
      <c r="C6" s="89"/>
      <c r="D6" s="89"/>
      <c r="E6" s="89"/>
      <c r="F6" s="89"/>
      <c r="G6" s="90"/>
      <c r="M6" s="1"/>
      <c r="N6" s="1"/>
    </row>
    <row r="7" spans="1:14" x14ac:dyDescent="0.25">
      <c r="B7" s="104" t="s">
        <v>104</v>
      </c>
      <c r="C7" s="81"/>
      <c r="D7" s="81"/>
      <c r="E7" s="81"/>
      <c r="F7" s="81"/>
      <c r="G7" s="82"/>
      <c r="H7" s="3"/>
      <c r="I7" s="3"/>
      <c r="J7" s="3"/>
      <c r="K7" s="4"/>
      <c r="L7" s="3"/>
      <c r="M7" s="5"/>
      <c r="N7" s="5"/>
    </row>
    <row r="8" spans="1:14" x14ac:dyDescent="0.25">
      <c r="B8" s="108"/>
      <c r="C8" s="81"/>
      <c r="D8" s="81"/>
      <c r="E8" s="81"/>
      <c r="F8" s="81"/>
      <c r="G8" s="81"/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5"/>
    </row>
    <row r="9" spans="1:14" x14ac:dyDescent="0.25">
      <c r="B9" s="7" t="s">
        <v>12</v>
      </c>
      <c r="C9" s="105" t="s">
        <v>105</v>
      </c>
      <c r="D9" s="106"/>
      <c r="E9" s="106"/>
      <c r="F9" s="106"/>
      <c r="G9" s="107"/>
      <c r="I9" s="1">
        <v>100</v>
      </c>
      <c r="J9" s="1"/>
      <c r="K9" s="1"/>
      <c r="L9" s="1"/>
      <c r="M9" s="1">
        <f t="shared" ref="M9:M13" si="0">+I9+J9+K9+L9</f>
        <v>100</v>
      </c>
      <c r="N9" s="5"/>
    </row>
    <row r="10" spans="1:14" x14ac:dyDescent="0.25">
      <c r="B10" s="7" t="s">
        <v>13</v>
      </c>
      <c r="C10" s="105" t="s">
        <v>106</v>
      </c>
      <c r="D10" s="106"/>
      <c r="E10" s="106"/>
      <c r="F10" s="106"/>
      <c r="G10" s="107"/>
      <c r="I10" s="1">
        <v>100</v>
      </c>
      <c r="J10" s="1"/>
      <c r="K10" s="1"/>
      <c r="L10" s="1"/>
      <c r="M10" s="1">
        <f t="shared" si="0"/>
        <v>100</v>
      </c>
      <c r="N10" s="5"/>
    </row>
    <row r="11" spans="1:14" x14ac:dyDescent="0.25">
      <c r="B11" s="7" t="s">
        <v>16</v>
      </c>
      <c r="C11" s="105" t="s">
        <v>107</v>
      </c>
      <c r="D11" s="106"/>
      <c r="E11" s="106"/>
      <c r="F11" s="106"/>
      <c r="G11" s="107"/>
      <c r="I11" s="1">
        <v>100</v>
      </c>
      <c r="J11" s="1"/>
      <c r="K11" s="1"/>
      <c r="L11" s="1"/>
      <c r="M11" s="1">
        <f>+I11+J11+K11+L11</f>
        <v>100</v>
      </c>
      <c r="N11" s="5"/>
    </row>
    <row r="12" spans="1:14" x14ac:dyDescent="0.25">
      <c r="B12" s="7" t="s">
        <v>14</v>
      </c>
      <c r="C12" s="105" t="s">
        <v>108</v>
      </c>
      <c r="D12" s="106"/>
      <c r="E12" s="106"/>
      <c r="F12" s="106"/>
      <c r="G12" s="107"/>
      <c r="I12" s="1">
        <v>100</v>
      </c>
      <c r="J12" s="1"/>
      <c r="K12" s="1"/>
      <c r="L12" s="1"/>
      <c r="M12" s="1">
        <f t="shared" si="0"/>
        <v>100</v>
      </c>
      <c r="N12" s="5"/>
    </row>
    <row r="13" spans="1:14" x14ac:dyDescent="0.25">
      <c r="B13" s="7" t="s">
        <v>15</v>
      </c>
      <c r="C13" s="105" t="s">
        <v>109</v>
      </c>
      <c r="D13" s="106"/>
      <c r="E13" s="106"/>
      <c r="F13" s="106"/>
      <c r="G13" s="107"/>
      <c r="I13" s="1">
        <v>100</v>
      </c>
      <c r="J13" s="1"/>
      <c r="K13" s="1"/>
      <c r="L13" s="1"/>
      <c r="M13" s="1">
        <f t="shared" si="0"/>
        <v>100</v>
      </c>
      <c r="N13" s="5"/>
    </row>
    <row r="14" spans="1:14" x14ac:dyDescent="0.25">
      <c r="B14" s="74"/>
      <c r="C14" s="63"/>
      <c r="D14" s="63"/>
      <c r="E14" s="63"/>
      <c r="F14" s="63"/>
      <c r="G14" s="64"/>
      <c r="H14" s="68">
        <f t="shared" ref="H14:M14" si="1">SUM(H9:H13)</f>
        <v>0</v>
      </c>
      <c r="I14" s="9">
        <f t="shared" si="1"/>
        <v>500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500</v>
      </c>
      <c r="N14" s="5"/>
    </row>
    <row r="15" spans="1:14" x14ac:dyDescent="0.25">
      <c r="A15" s="10"/>
      <c r="B15" s="65"/>
      <c r="C15" s="11"/>
      <c r="D15" s="11"/>
      <c r="E15" s="11"/>
      <c r="F15" s="11"/>
      <c r="G15" s="66"/>
      <c r="H15" s="10"/>
      <c r="I15" s="10"/>
      <c r="J15" s="10"/>
      <c r="K15" s="10"/>
      <c r="L15" s="10"/>
      <c r="M15" s="1"/>
      <c r="N15" s="5"/>
    </row>
    <row r="16" spans="1:14" x14ac:dyDescent="0.25">
      <c r="A16" s="10"/>
      <c r="B16" s="11"/>
      <c r="C16" s="11"/>
      <c r="D16" s="11"/>
      <c r="E16" s="11"/>
      <c r="F16" s="11"/>
      <c r="G16" s="11"/>
      <c r="H16" s="10"/>
      <c r="I16" s="10"/>
      <c r="J16" s="10"/>
      <c r="K16" s="10"/>
      <c r="L16" s="10"/>
      <c r="M16" s="1"/>
      <c r="N16" s="5"/>
    </row>
    <row r="17" spans="1:14" x14ac:dyDescent="0.25">
      <c r="A17" s="10"/>
      <c r="B17" s="104" t="s">
        <v>110</v>
      </c>
      <c r="C17" s="81"/>
      <c r="D17" s="81"/>
      <c r="E17" s="81"/>
      <c r="F17" s="81"/>
      <c r="G17" s="82"/>
      <c r="H17" s="3"/>
      <c r="I17" s="3"/>
      <c r="J17" s="3"/>
      <c r="K17" s="4"/>
      <c r="L17" s="3"/>
      <c r="M17" s="5"/>
      <c r="N17" s="5"/>
    </row>
    <row r="18" spans="1:14" x14ac:dyDescent="0.25">
      <c r="A18" s="10"/>
      <c r="B18" s="108"/>
      <c r="C18" s="81"/>
      <c r="D18" s="81"/>
      <c r="E18" s="81"/>
      <c r="F18" s="81"/>
      <c r="G18" s="81"/>
      <c r="H18" s="6" t="s">
        <v>6</v>
      </c>
      <c r="I18" s="6" t="s">
        <v>7</v>
      </c>
      <c r="J18" s="6" t="s">
        <v>8</v>
      </c>
      <c r="K18" s="6" t="s">
        <v>9</v>
      </c>
      <c r="L18" s="6" t="s">
        <v>10</v>
      </c>
      <c r="M18" s="6" t="s">
        <v>11</v>
      </c>
      <c r="N18" s="5"/>
    </row>
    <row r="19" spans="1:14" ht="27" customHeight="1" x14ac:dyDescent="0.25">
      <c r="A19" s="10"/>
      <c r="B19" s="7" t="s">
        <v>12</v>
      </c>
      <c r="C19" s="112" t="s">
        <v>111</v>
      </c>
      <c r="D19" s="113"/>
      <c r="E19" s="113"/>
      <c r="F19" s="113"/>
      <c r="G19" s="114"/>
      <c r="I19" s="1">
        <v>100</v>
      </c>
      <c r="J19" s="1"/>
      <c r="K19" s="1"/>
      <c r="L19" s="1"/>
      <c r="M19" s="1">
        <f t="shared" ref="M19:M23" si="2">+I19+J19+K19+L19</f>
        <v>100</v>
      </c>
      <c r="N19" s="5"/>
    </row>
    <row r="20" spans="1:14" x14ac:dyDescent="0.25">
      <c r="A20" s="10"/>
      <c r="B20" s="7" t="s">
        <v>13</v>
      </c>
      <c r="C20" s="105" t="s">
        <v>112</v>
      </c>
      <c r="D20" s="106"/>
      <c r="E20" s="106"/>
      <c r="F20" s="106"/>
      <c r="G20" s="107"/>
      <c r="I20" s="1">
        <v>100</v>
      </c>
      <c r="J20" s="1"/>
      <c r="K20" s="1"/>
      <c r="L20" s="1"/>
      <c r="M20" s="1">
        <f t="shared" si="2"/>
        <v>100</v>
      </c>
      <c r="N20" s="5"/>
    </row>
    <row r="21" spans="1:14" x14ac:dyDescent="0.25">
      <c r="A21" s="10"/>
      <c r="B21" s="7" t="s">
        <v>14</v>
      </c>
      <c r="C21" s="105" t="s">
        <v>113</v>
      </c>
      <c r="D21" s="106"/>
      <c r="E21" s="106"/>
      <c r="F21" s="106"/>
      <c r="G21" s="107"/>
      <c r="I21" s="1">
        <v>100</v>
      </c>
      <c r="J21" s="1"/>
      <c r="K21" s="1"/>
      <c r="L21" s="1"/>
      <c r="M21" s="1">
        <f t="shared" si="2"/>
        <v>100</v>
      </c>
      <c r="N21" s="5"/>
    </row>
    <row r="22" spans="1:14" ht="15" customHeight="1" x14ac:dyDescent="0.25">
      <c r="A22" s="10"/>
      <c r="B22" s="7" t="s">
        <v>15</v>
      </c>
      <c r="C22" s="105" t="s">
        <v>114</v>
      </c>
      <c r="D22" s="106"/>
      <c r="E22" s="106"/>
      <c r="F22" s="106"/>
      <c r="G22" s="107"/>
      <c r="I22" s="1">
        <v>100</v>
      </c>
      <c r="J22" s="1"/>
      <c r="K22" s="1"/>
      <c r="L22" s="1"/>
      <c r="M22" s="1">
        <f t="shared" si="2"/>
        <v>100</v>
      </c>
      <c r="N22" s="5"/>
    </row>
    <row r="23" spans="1:14" x14ac:dyDescent="0.25">
      <c r="A23" s="10"/>
      <c r="B23" s="7" t="s">
        <v>16</v>
      </c>
      <c r="C23" s="105" t="s">
        <v>115</v>
      </c>
      <c r="D23" s="106"/>
      <c r="E23" s="106"/>
      <c r="F23" s="106"/>
      <c r="G23" s="107"/>
      <c r="I23" s="1">
        <v>100</v>
      </c>
      <c r="J23" s="1"/>
      <c r="K23" s="1"/>
      <c r="L23" s="1"/>
      <c r="M23" s="1">
        <f t="shared" si="2"/>
        <v>100</v>
      </c>
      <c r="N23" s="5"/>
    </row>
    <row r="24" spans="1:14" x14ac:dyDescent="0.25">
      <c r="A24" s="10"/>
      <c r="B24" s="74"/>
      <c r="C24" s="63"/>
      <c r="D24" s="63"/>
      <c r="E24" s="63"/>
      <c r="F24" s="63"/>
      <c r="G24" s="64"/>
      <c r="H24" s="68">
        <f>SUM(H19:H23)</f>
        <v>0</v>
      </c>
      <c r="I24" s="9">
        <f>SUM(I19:I23)</f>
        <v>500</v>
      </c>
      <c r="J24" s="9">
        <f t="shared" ref="J24:K24" si="3">SUM(J19:J23)</f>
        <v>0</v>
      </c>
      <c r="K24" s="9">
        <f t="shared" si="3"/>
        <v>0</v>
      </c>
      <c r="L24" s="9">
        <f>SUM(L19:L23)</f>
        <v>0</v>
      </c>
      <c r="M24" s="9">
        <f>SUM(M19:M23)</f>
        <v>500</v>
      </c>
      <c r="N24" s="5"/>
    </row>
    <row r="25" spans="1:14" x14ac:dyDescent="0.25">
      <c r="A25" s="10"/>
      <c r="B25" s="65"/>
      <c r="C25" s="11"/>
      <c r="D25" s="11"/>
      <c r="E25" s="11"/>
      <c r="F25" s="11"/>
      <c r="G25" s="66"/>
      <c r="H25" s="10"/>
      <c r="I25" s="10"/>
      <c r="J25" s="10"/>
      <c r="K25" s="10"/>
      <c r="L25" s="10"/>
      <c r="M25" s="1"/>
      <c r="N25" s="5"/>
    </row>
    <row r="26" spans="1:14" x14ac:dyDescent="0.25">
      <c r="A26" s="10"/>
      <c r="B26" s="11"/>
      <c r="C26" s="11"/>
      <c r="D26" s="11"/>
      <c r="E26" s="11"/>
      <c r="F26" s="11"/>
      <c r="G26" s="11"/>
      <c r="H26" s="10"/>
      <c r="I26" s="10"/>
      <c r="J26" s="10"/>
      <c r="K26" s="10"/>
      <c r="L26" s="10"/>
      <c r="M26" s="1"/>
      <c r="N26" s="5"/>
    </row>
    <row r="27" spans="1:14" x14ac:dyDescent="0.25">
      <c r="A27" s="10"/>
      <c r="B27" s="104" t="s">
        <v>116</v>
      </c>
      <c r="C27" s="81"/>
      <c r="D27" s="81"/>
      <c r="E27" s="81"/>
      <c r="F27" s="81"/>
      <c r="G27" s="82"/>
      <c r="H27" s="3"/>
      <c r="I27" s="3"/>
      <c r="J27" s="3"/>
      <c r="K27" s="4"/>
      <c r="L27" s="3"/>
      <c r="M27" s="5"/>
      <c r="N27" s="5"/>
    </row>
    <row r="28" spans="1:14" x14ac:dyDescent="0.25">
      <c r="A28" s="10"/>
      <c r="B28" s="108"/>
      <c r="C28" s="81"/>
      <c r="D28" s="81"/>
      <c r="E28" s="81"/>
      <c r="F28" s="81"/>
      <c r="G28" s="81"/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11</v>
      </c>
      <c r="N28" s="5"/>
    </row>
    <row r="29" spans="1:14" x14ac:dyDescent="0.25">
      <c r="A29" s="10"/>
      <c r="B29" s="7" t="s">
        <v>12</v>
      </c>
      <c r="C29" s="105" t="s">
        <v>117</v>
      </c>
      <c r="D29" s="106"/>
      <c r="E29" s="106"/>
      <c r="F29" s="106"/>
      <c r="G29" s="107"/>
      <c r="I29" s="1">
        <v>100</v>
      </c>
      <c r="J29" s="1"/>
      <c r="K29" s="1"/>
      <c r="L29" s="1"/>
      <c r="M29" s="1">
        <f t="shared" ref="M29:M33" si="4">+I29+J29+K29+L29</f>
        <v>100</v>
      </c>
      <c r="N29" s="5"/>
    </row>
    <row r="30" spans="1:14" x14ac:dyDescent="0.25">
      <c r="A30" s="10"/>
      <c r="B30" s="7" t="s">
        <v>13</v>
      </c>
      <c r="C30" s="105" t="s">
        <v>118</v>
      </c>
      <c r="D30" s="106"/>
      <c r="E30" s="106"/>
      <c r="F30" s="106"/>
      <c r="G30" s="107"/>
      <c r="I30" s="1">
        <v>100</v>
      </c>
      <c r="J30" s="1"/>
      <c r="K30" s="1"/>
      <c r="L30" s="1"/>
      <c r="M30" s="1">
        <f t="shared" si="4"/>
        <v>100</v>
      </c>
      <c r="N30" s="5"/>
    </row>
    <row r="31" spans="1:14" x14ac:dyDescent="0.25">
      <c r="A31" s="10"/>
      <c r="B31" s="7" t="s">
        <v>14</v>
      </c>
      <c r="C31" s="105" t="s">
        <v>119</v>
      </c>
      <c r="D31" s="106"/>
      <c r="E31" s="106"/>
      <c r="F31" s="106"/>
      <c r="G31" s="107"/>
      <c r="I31" s="1">
        <v>100</v>
      </c>
      <c r="J31" s="1"/>
      <c r="K31" s="1"/>
      <c r="L31" s="1"/>
      <c r="M31" s="1">
        <f t="shared" si="4"/>
        <v>100</v>
      </c>
      <c r="N31" s="5"/>
    </row>
    <row r="32" spans="1:14" x14ac:dyDescent="0.25">
      <c r="A32" s="10"/>
      <c r="B32" s="7" t="s">
        <v>15</v>
      </c>
      <c r="C32" s="105" t="s">
        <v>120</v>
      </c>
      <c r="D32" s="106"/>
      <c r="E32" s="106"/>
      <c r="F32" s="106"/>
      <c r="G32" s="107"/>
      <c r="I32" s="1">
        <v>100</v>
      </c>
      <c r="J32" s="1"/>
      <c r="K32" s="1"/>
      <c r="L32" s="1"/>
      <c r="M32" s="1">
        <f t="shared" si="4"/>
        <v>100</v>
      </c>
      <c r="N32" s="5"/>
    </row>
    <row r="33" spans="1:14" x14ac:dyDescent="0.25">
      <c r="A33" s="10"/>
      <c r="B33" s="7" t="s">
        <v>16</v>
      </c>
      <c r="C33" s="105" t="s">
        <v>121</v>
      </c>
      <c r="D33" s="106"/>
      <c r="E33" s="106"/>
      <c r="F33" s="106"/>
      <c r="G33" s="107"/>
      <c r="I33" s="1">
        <v>100</v>
      </c>
      <c r="J33" s="1"/>
      <c r="K33" s="1"/>
      <c r="L33" s="1"/>
      <c r="M33" s="1">
        <f t="shared" si="4"/>
        <v>100</v>
      </c>
      <c r="N33" s="5"/>
    </row>
    <row r="34" spans="1:14" x14ac:dyDescent="0.25">
      <c r="A34" s="10"/>
      <c r="B34" s="115"/>
      <c r="C34" s="86"/>
      <c r="D34" s="86"/>
      <c r="E34" s="86"/>
      <c r="F34" s="86"/>
      <c r="G34" s="87"/>
      <c r="H34" s="8">
        <f>SUM(H29:H33)</f>
        <v>0</v>
      </c>
      <c r="I34" s="9">
        <f>SUM(I29:I33)</f>
        <v>500</v>
      </c>
      <c r="J34" s="9">
        <f t="shared" ref="J34:K34" si="5">SUM(J29:J33)</f>
        <v>0</v>
      </c>
      <c r="K34" s="9">
        <f t="shared" si="5"/>
        <v>0</v>
      </c>
      <c r="L34" s="9">
        <f>SUM(L29:L33)</f>
        <v>0</v>
      </c>
      <c r="M34" s="9">
        <f>SUM(M29:M33)</f>
        <v>500</v>
      </c>
      <c r="N34" s="5"/>
    </row>
    <row r="35" spans="1:14" x14ac:dyDescent="0.25">
      <c r="A35" s="10"/>
      <c r="B35" s="116"/>
      <c r="C35" s="117"/>
      <c r="D35" s="117"/>
      <c r="E35" s="117"/>
      <c r="F35" s="117"/>
      <c r="G35" s="118"/>
      <c r="H35" s="10"/>
      <c r="I35" s="10"/>
      <c r="J35" s="10"/>
      <c r="K35" s="10"/>
      <c r="L35" s="10"/>
      <c r="M35" s="1"/>
      <c r="N35" s="5"/>
    </row>
    <row r="36" spans="1:14" x14ac:dyDescent="0.25">
      <c r="A36" s="10"/>
      <c r="B36" s="11"/>
      <c r="C36" s="11"/>
      <c r="D36" s="11"/>
      <c r="E36" s="11"/>
      <c r="F36" s="11"/>
      <c r="G36" s="11"/>
      <c r="H36" s="10"/>
      <c r="I36" s="10"/>
      <c r="J36" s="10"/>
      <c r="K36" s="10"/>
      <c r="L36" s="10"/>
      <c r="M36" s="1"/>
      <c r="N36" s="5"/>
    </row>
    <row r="37" spans="1:14" x14ac:dyDescent="0.25">
      <c r="A37" s="10"/>
      <c r="B37" s="104" t="s">
        <v>122</v>
      </c>
      <c r="C37" s="81"/>
      <c r="D37" s="81"/>
      <c r="E37" s="81"/>
      <c r="F37" s="81"/>
      <c r="G37" s="82"/>
      <c r="H37" s="3"/>
      <c r="I37" s="3"/>
      <c r="J37" s="3"/>
      <c r="K37" s="4"/>
      <c r="L37" s="3"/>
      <c r="M37" s="5"/>
      <c r="N37" s="5"/>
    </row>
    <row r="38" spans="1:14" x14ac:dyDescent="0.25">
      <c r="A38" s="10"/>
      <c r="B38" s="108"/>
      <c r="C38" s="81"/>
      <c r="D38" s="81"/>
      <c r="E38" s="81"/>
      <c r="F38" s="81"/>
      <c r="G38" s="81"/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5"/>
    </row>
    <row r="39" spans="1:14" x14ac:dyDescent="0.25">
      <c r="A39" s="10"/>
      <c r="B39" s="7" t="s">
        <v>12</v>
      </c>
      <c r="C39" s="105" t="s">
        <v>123</v>
      </c>
      <c r="D39" s="106"/>
      <c r="E39" s="106"/>
      <c r="F39" s="106"/>
      <c r="G39" s="107"/>
      <c r="I39" s="1">
        <v>100</v>
      </c>
      <c r="J39" s="1"/>
      <c r="K39" s="1"/>
      <c r="L39" s="1"/>
      <c r="M39" s="1">
        <f t="shared" ref="M39:M43" si="6">+I39+J39+K39+L39</f>
        <v>100</v>
      </c>
      <c r="N39" s="5"/>
    </row>
    <row r="40" spans="1:14" x14ac:dyDescent="0.25">
      <c r="A40" s="10"/>
      <c r="B40" s="7" t="s">
        <v>13</v>
      </c>
      <c r="C40" s="105" t="s">
        <v>123</v>
      </c>
      <c r="D40" s="106"/>
      <c r="E40" s="106"/>
      <c r="F40" s="106"/>
      <c r="G40" s="107"/>
      <c r="I40" s="1">
        <v>100</v>
      </c>
      <c r="J40" s="1"/>
      <c r="K40" s="1"/>
      <c r="L40" s="1"/>
      <c r="M40" s="1">
        <f t="shared" si="6"/>
        <v>100</v>
      </c>
      <c r="N40" s="5"/>
    </row>
    <row r="41" spans="1:14" x14ac:dyDescent="0.25">
      <c r="A41" s="10"/>
      <c r="B41" s="7" t="s">
        <v>14</v>
      </c>
      <c r="C41" s="105" t="s">
        <v>124</v>
      </c>
      <c r="D41" s="106"/>
      <c r="E41" s="106"/>
      <c r="F41" s="106"/>
      <c r="G41" s="107"/>
      <c r="I41" s="1">
        <v>100</v>
      </c>
      <c r="J41" s="1"/>
      <c r="K41" s="1"/>
      <c r="L41" s="1"/>
      <c r="M41" s="1">
        <f t="shared" si="6"/>
        <v>100</v>
      </c>
      <c r="N41" s="5"/>
    </row>
    <row r="42" spans="1:14" x14ac:dyDescent="0.25">
      <c r="A42" s="10"/>
      <c r="B42" s="7" t="s">
        <v>15</v>
      </c>
      <c r="C42" s="105" t="s">
        <v>125</v>
      </c>
      <c r="D42" s="106"/>
      <c r="E42" s="106"/>
      <c r="F42" s="106"/>
      <c r="G42" s="107"/>
      <c r="I42" s="1">
        <v>100</v>
      </c>
      <c r="J42" s="1"/>
      <c r="K42" s="1"/>
      <c r="L42" s="1"/>
      <c r="M42" s="1">
        <f t="shared" si="6"/>
        <v>100</v>
      </c>
      <c r="N42" s="5"/>
    </row>
    <row r="43" spans="1:14" x14ac:dyDescent="0.25">
      <c r="A43" s="10"/>
      <c r="B43" s="7" t="s">
        <v>16</v>
      </c>
      <c r="C43" s="105" t="s">
        <v>87</v>
      </c>
      <c r="D43" s="106"/>
      <c r="E43" s="106"/>
      <c r="F43" s="106"/>
      <c r="G43" s="107"/>
      <c r="I43" s="1">
        <v>100</v>
      </c>
      <c r="J43" s="1"/>
      <c r="K43" s="1"/>
      <c r="L43" s="1"/>
      <c r="M43" s="1">
        <f t="shared" si="6"/>
        <v>100</v>
      </c>
      <c r="N43" s="5"/>
    </row>
    <row r="44" spans="1:14" x14ac:dyDescent="0.25">
      <c r="A44" s="10"/>
      <c r="B44" s="115"/>
      <c r="C44" s="86"/>
      <c r="D44" s="86"/>
      <c r="E44" s="86"/>
      <c r="F44" s="86"/>
      <c r="G44" s="87"/>
      <c r="H44" s="8">
        <f>SUM(H39:H43)</f>
        <v>0</v>
      </c>
      <c r="I44" s="9">
        <f>SUM(I39:I43)</f>
        <v>500</v>
      </c>
      <c r="J44" s="9">
        <f t="shared" ref="J44:K44" si="7">SUM(J39:J43)</f>
        <v>0</v>
      </c>
      <c r="K44" s="9">
        <f t="shared" si="7"/>
        <v>0</v>
      </c>
      <c r="L44" s="9">
        <f>SUM(L39:L43)</f>
        <v>0</v>
      </c>
      <c r="M44" s="9">
        <f>SUM(M39:M43)</f>
        <v>500</v>
      </c>
      <c r="N44" s="5"/>
    </row>
    <row r="45" spans="1:14" x14ac:dyDescent="0.25">
      <c r="A45" s="10"/>
      <c r="B45" s="116"/>
      <c r="C45" s="117"/>
      <c r="D45" s="117"/>
      <c r="E45" s="117"/>
      <c r="F45" s="117"/>
      <c r="G45" s="118"/>
      <c r="H45" s="10"/>
      <c r="I45" s="10"/>
      <c r="J45" s="10"/>
      <c r="K45" s="10"/>
      <c r="L45" s="10"/>
      <c r="M45" s="1"/>
      <c r="N45" s="5"/>
    </row>
    <row r="46" spans="1:14" x14ac:dyDescent="0.25">
      <c r="A46" s="10"/>
      <c r="B46" s="12" t="s">
        <v>71</v>
      </c>
      <c r="C46" s="12" t="s">
        <v>72</v>
      </c>
      <c r="D46" s="11"/>
      <c r="E46" s="11"/>
      <c r="F46" s="11"/>
      <c r="G46" s="11"/>
      <c r="H46" s="10"/>
      <c r="I46" s="10"/>
      <c r="J46" s="10"/>
      <c r="K46" s="10"/>
      <c r="L46" s="10"/>
      <c r="M46" s="1"/>
      <c r="N46" s="5"/>
    </row>
    <row r="47" spans="1:14" ht="15.75" customHeight="1" x14ac:dyDescent="0.25">
      <c r="C47" s="3" t="s">
        <v>73</v>
      </c>
      <c r="E47" s="1"/>
      <c r="F47" s="1"/>
    </row>
    <row r="48" spans="1:14" ht="15.75" customHeight="1" x14ac:dyDescent="0.25">
      <c r="C48" s="3" t="s">
        <v>74</v>
      </c>
      <c r="E48" s="1"/>
      <c r="F48" s="1"/>
    </row>
    <row r="49" spans="3:14" ht="15.75" customHeight="1" x14ac:dyDescent="0.25">
      <c r="C49" s="3" t="s">
        <v>75</v>
      </c>
      <c r="E49" s="1"/>
      <c r="F49" s="1"/>
    </row>
    <row r="50" spans="3:14" ht="15.75" customHeight="1" x14ac:dyDescent="0.25">
      <c r="C50" s="3"/>
      <c r="E50" s="1"/>
      <c r="F50" s="1"/>
    </row>
    <row r="51" spans="3:14" ht="15.75" customHeight="1" x14ac:dyDescent="0.25">
      <c r="C51" s="3"/>
      <c r="E51" s="1"/>
      <c r="F51" s="1"/>
    </row>
    <row r="52" spans="3:14" ht="15.75" customHeight="1" x14ac:dyDescent="0.25">
      <c r="C52" s="3"/>
      <c r="E52" s="1"/>
      <c r="F52" s="1"/>
    </row>
    <row r="53" spans="3:14" ht="15.75" customHeight="1" x14ac:dyDescent="0.25">
      <c r="M53" s="1"/>
      <c r="N53" s="1"/>
    </row>
    <row r="54" spans="3:14" ht="15.75" customHeight="1" x14ac:dyDescent="0.25">
      <c r="M54" s="1"/>
      <c r="N54" s="1"/>
    </row>
    <row r="55" spans="3:14" ht="15.75" customHeight="1" x14ac:dyDescent="0.25">
      <c r="M55" s="1"/>
      <c r="N55" s="1"/>
    </row>
    <row r="56" spans="3:14" ht="15.75" customHeight="1" x14ac:dyDescent="0.25">
      <c r="M56" s="1"/>
      <c r="N56" s="1"/>
    </row>
    <row r="57" spans="3:14" ht="15.75" customHeight="1" x14ac:dyDescent="0.25">
      <c r="M57" s="1"/>
      <c r="N57" s="1"/>
    </row>
    <row r="58" spans="3:14" ht="15.75" customHeight="1" x14ac:dyDescent="0.25">
      <c r="M58" s="1"/>
      <c r="N58" s="1"/>
    </row>
    <row r="59" spans="3:14" ht="15.75" customHeight="1" x14ac:dyDescent="0.25">
      <c r="M59" s="1"/>
      <c r="N59" s="1"/>
    </row>
    <row r="60" spans="3:14" ht="15.75" customHeight="1" x14ac:dyDescent="0.25">
      <c r="M60" s="1"/>
      <c r="N60" s="1"/>
    </row>
    <row r="61" spans="3:14" ht="15.75" customHeight="1" x14ac:dyDescent="0.25">
      <c r="M61" s="1"/>
      <c r="N61" s="1"/>
    </row>
    <row r="62" spans="3:14" ht="15.75" customHeight="1" x14ac:dyDescent="0.25">
      <c r="M62" s="1"/>
      <c r="N62" s="1"/>
    </row>
    <row r="63" spans="3:14" ht="15.75" customHeight="1" x14ac:dyDescent="0.25">
      <c r="M63" s="1"/>
      <c r="N63" s="1"/>
    </row>
    <row r="64" spans="3:14" ht="15.75" customHeight="1" x14ac:dyDescent="0.25">
      <c r="M64" s="1"/>
      <c r="N64" s="1"/>
    </row>
    <row r="65" spans="13:14" ht="15.75" customHeight="1" x14ac:dyDescent="0.25">
      <c r="M65" s="1"/>
      <c r="N65" s="1"/>
    </row>
    <row r="66" spans="13:14" ht="15.75" customHeight="1" x14ac:dyDescent="0.25">
      <c r="M66" s="1"/>
      <c r="N66" s="1"/>
    </row>
    <row r="67" spans="13:14" ht="15.75" customHeight="1" x14ac:dyDescent="0.25">
      <c r="M67" s="1"/>
      <c r="N67" s="1"/>
    </row>
    <row r="68" spans="13:14" ht="15.75" customHeight="1" x14ac:dyDescent="0.25">
      <c r="M68" s="1"/>
      <c r="N68" s="1"/>
    </row>
    <row r="69" spans="13:14" ht="15.75" customHeight="1" x14ac:dyDescent="0.25">
      <c r="M69" s="1"/>
      <c r="N69" s="1"/>
    </row>
    <row r="70" spans="13:14" ht="15.75" customHeight="1" x14ac:dyDescent="0.25">
      <c r="M70" s="1"/>
      <c r="N70" s="1"/>
    </row>
    <row r="71" spans="13:14" ht="15.75" customHeight="1" x14ac:dyDescent="0.25">
      <c r="M71" s="1"/>
      <c r="N71" s="1"/>
    </row>
    <row r="72" spans="13:14" ht="15.75" customHeight="1" x14ac:dyDescent="0.25">
      <c r="M72" s="1"/>
      <c r="N72" s="1"/>
    </row>
    <row r="73" spans="13:14" ht="15.75" customHeight="1" x14ac:dyDescent="0.25">
      <c r="M73" s="1"/>
      <c r="N73" s="1"/>
    </row>
    <row r="74" spans="13:14" ht="15.75" customHeight="1" x14ac:dyDescent="0.25">
      <c r="M74" s="1"/>
      <c r="N74" s="1"/>
    </row>
    <row r="75" spans="13:14" ht="15.75" customHeight="1" x14ac:dyDescent="0.25">
      <c r="M75" s="1"/>
      <c r="N75" s="1"/>
    </row>
    <row r="76" spans="13:14" ht="15.75" customHeight="1" x14ac:dyDescent="0.25">
      <c r="M76" s="1"/>
      <c r="N76" s="1"/>
    </row>
    <row r="77" spans="13:14" ht="15.75" customHeight="1" x14ac:dyDescent="0.25">
      <c r="M77" s="1"/>
      <c r="N77" s="1"/>
    </row>
    <row r="78" spans="13:14" ht="15.75" customHeight="1" x14ac:dyDescent="0.25">
      <c r="M78" s="1"/>
      <c r="N78" s="1"/>
    </row>
    <row r="79" spans="13:14" ht="15.75" customHeight="1" x14ac:dyDescent="0.25">
      <c r="M79" s="1"/>
      <c r="N79" s="1"/>
    </row>
    <row r="80" spans="1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  <row r="93" spans="13:14" ht="15.75" customHeight="1" x14ac:dyDescent="0.25">
      <c r="M93" s="1"/>
      <c r="N93" s="1"/>
    </row>
    <row r="94" spans="13:14" ht="15.75" customHeight="1" x14ac:dyDescent="0.25">
      <c r="M94" s="1"/>
      <c r="N94" s="1"/>
    </row>
    <row r="95" spans="13:14" ht="15.75" customHeight="1" x14ac:dyDescent="0.25">
      <c r="M95" s="1"/>
      <c r="N95" s="1"/>
    </row>
  </sheetData>
  <mergeCells count="35">
    <mergeCell ref="B8:G8"/>
    <mergeCell ref="C19:G19"/>
    <mergeCell ref="B1:G1"/>
    <mergeCell ref="C2:G2"/>
    <mergeCell ref="C20:G20"/>
    <mergeCell ref="C4:G4"/>
    <mergeCell ref="C3:G3"/>
    <mergeCell ref="B17:G17"/>
    <mergeCell ref="C11:G11"/>
    <mergeCell ref="C12:G12"/>
    <mergeCell ref="C13:G13"/>
    <mergeCell ref="C10:G10"/>
    <mergeCell ref="B5:G6"/>
    <mergeCell ref="B7:G7"/>
    <mergeCell ref="B38:G38"/>
    <mergeCell ref="C33:G33"/>
    <mergeCell ref="C40:G40"/>
    <mergeCell ref="C39:G39"/>
    <mergeCell ref="C23:G23"/>
    <mergeCell ref="B44:G45"/>
    <mergeCell ref="C31:G31"/>
    <mergeCell ref="B27:G27"/>
    <mergeCell ref="C9:G9"/>
    <mergeCell ref="B18:G18"/>
    <mergeCell ref="B34:G35"/>
    <mergeCell ref="C43:G43"/>
    <mergeCell ref="B28:G28"/>
    <mergeCell ref="C29:G29"/>
    <mergeCell ref="C30:G30"/>
    <mergeCell ref="C41:G41"/>
    <mergeCell ref="B37:G37"/>
    <mergeCell ref="C21:G21"/>
    <mergeCell ref="C22:G22"/>
    <mergeCell ref="C42:G42"/>
    <mergeCell ref="C32:G32"/>
  </mergeCells>
  <pageMargins left="0.23622047244094491" right="0.23622047244094491" top="0.74803149606299213" bottom="0.74803149606299213" header="0" footer="0"/>
  <pageSetup paperSize="9" scale="8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3"/>
  <sheetViews>
    <sheetView topLeftCell="C26" workbookViewId="0">
      <selection activeCell="H32" sqref="H32:I33"/>
    </sheetView>
  </sheetViews>
  <sheetFormatPr baseColWidth="10" defaultColWidth="14" defaultRowHeight="15" customHeight="1" x14ac:dyDescent="0.25"/>
  <cols>
    <col min="1" max="1" width="4" customWidth="1"/>
    <col min="2" max="2" width="14.28515625" customWidth="1"/>
    <col min="3" max="3" width="8.7109375" customWidth="1"/>
    <col min="4" max="4" width="19" customWidth="1"/>
    <col min="5" max="6" width="11.42578125" customWidth="1"/>
    <col min="7" max="7" width="19" customWidth="1"/>
    <col min="8" max="8" width="11.42578125" customWidth="1"/>
    <col min="9" max="9" width="15.140625" customWidth="1"/>
    <col min="10" max="13" width="11.42578125" customWidth="1"/>
    <col min="14" max="14" width="10" customWidth="1"/>
  </cols>
  <sheetData>
    <row r="1" spans="1:14" ht="33.75" x14ac:dyDescent="0.5">
      <c r="B1" s="84" t="s">
        <v>0</v>
      </c>
      <c r="C1" s="81"/>
      <c r="D1" s="81"/>
      <c r="E1" s="81"/>
      <c r="F1" s="81"/>
      <c r="G1" s="82"/>
      <c r="M1" s="1"/>
      <c r="N1" s="1"/>
    </row>
    <row r="2" spans="1:14" x14ac:dyDescent="0.25">
      <c r="B2" s="2" t="s">
        <v>1</v>
      </c>
      <c r="C2" s="83" t="s">
        <v>126</v>
      </c>
      <c r="D2" s="81"/>
      <c r="E2" s="81"/>
      <c r="F2" s="81"/>
      <c r="G2" s="82"/>
      <c r="M2" s="1"/>
      <c r="N2" s="1"/>
    </row>
    <row r="3" spans="1:14" x14ac:dyDescent="0.25">
      <c r="B3" s="2" t="s">
        <v>2</v>
      </c>
      <c r="C3" s="83" t="s">
        <v>127</v>
      </c>
      <c r="D3" s="81"/>
      <c r="E3" s="81"/>
      <c r="F3" s="81"/>
      <c r="G3" s="82"/>
      <c r="M3" s="1"/>
      <c r="N3" s="1"/>
    </row>
    <row r="4" spans="1:14" x14ac:dyDescent="0.25">
      <c r="B4" s="2" t="s">
        <v>3</v>
      </c>
      <c r="C4" s="83" t="s">
        <v>128</v>
      </c>
      <c r="D4" s="81"/>
      <c r="E4" s="81"/>
      <c r="F4" s="81"/>
      <c r="G4" s="82"/>
      <c r="M4" s="1"/>
      <c r="N4" s="1"/>
    </row>
    <row r="5" spans="1:14" x14ac:dyDescent="0.25">
      <c r="B5" s="85"/>
      <c r="C5" s="86"/>
      <c r="D5" s="86"/>
      <c r="E5" s="86"/>
      <c r="F5" s="86"/>
      <c r="G5" s="87"/>
      <c r="M5" s="1"/>
      <c r="N5" s="1"/>
    </row>
    <row r="6" spans="1:14" x14ac:dyDescent="0.25">
      <c r="B6" s="88"/>
      <c r="C6" s="89"/>
      <c r="D6" s="89"/>
      <c r="E6" s="89"/>
      <c r="F6" s="89"/>
      <c r="G6" s="90"/>
      <c r="M6" s="1"/>
      <c r="N6" s="1"/>
    </row>
    <row r="7" spans="1:14" x14ac:dyDescent="0.25">
      <c r="B7" s="104" t="s">
        <v>129</v>
      </c>
      <c r="C7" s="81"/>
      <c r="D7" s="81"/>
      <c r="E7" s="81"/>
      <c r="F7" s="81"/>
      <c r="G7" s="82"/>
      <c r="H7" s="3"/>
      <c r="I7" s="3"/>
      <c r="J7" s="3"/>
      <c r="K7" s="4"/>
      <c r="L7" s="3"/>
      <c r="M7" s="5"/>
      <c r="N7" s="5"/>
    </row>
    <row r="8" spans="1:14" x14ac:dyDescent="0.25">
      <c r="B8" s="108"/>
      <c r="C8" s="81"/>
      <c r="D8" s="81"/>
      <c r="E8" s="81"/>
      <c r="F8" s="81"/>
      <c r="G8" s="81"/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5"/>
    </row>
    <row r="9" spans="1:14" x14ac:dyDescent="0.25">
      <c r="B9" s="7" t="s">
        <v>12</v>
      </c>
      <c r="C9" s="112" t="s">
        <v>134</v>
      </c>
      <c r="D9" s="113"/>
      <c r="E9" s="113"/>
      <c r="F9" s="113"/>
      <c r="G9" s="114"/>
      <c r="I9" s="1">
        <v>100</v>
      </c>
      <c r="J9" s="1"/>
      <c r="K9" s="1"/>
      <c r="L9" s="1"/>
      <c r="M9" s="1">
        <f t="shared" ref="M9:M13" si="0">+I9+J9+K9+L9</f>
        <v>100</v>
      </c>
      <c r="N9" s="5"/>
    </row>
    <row r="10" spans="1:14" x14ac:dyDescent="0.25">
      <c r="B10" s="7" t="s">
        <v>13</v>
      </c>
      <c r="C10" s="112" t="s">
        <v>130</v>
      </c>
      <c r="D10" s="113"/>
      <c r="E10" s="113"/>
      <c r="F10" s="113"/>
      <c r="G10" s="114"/>
      <c r="I10" s="1">
        <v>100</v>
      </c>
      <c r="J10" s="1"/>
      <c r="K10" s="1"/>
      <c r="L10" s="1"/>
      <c r="M10" s="1">
        <f t="shared" si="0"/>
        <v>100</v>
      </c>
      <c r="N10" s="5"/>
    </row>
    <row r="11" spans="1:14" x14ac:dyDescent="0.25">
      <c r="B11" s="7" t="s">
        <v>16</v>
      </c>
      <c r="C11" s="112" t="s">
        <v>131</v>
      </c>
      <c r="D11" s="113"/>
      <c r="E11" s="113"/>
      <c r="F11" s="113"/>
      <c r="G11" s="114"/>
      <c r="I11" s="1">
        <v>100</v>
      </c>
      <c r="J11" s="1"/>
      <c r="K11" s="1"/>
      <c r="L11" s="1"/>
      <c r="M11" s="1">
        <f>+I11+J11+K11+L11</f>
        <v>100</v>
      </c>
      <c r="N11" s="5"/>
    </row>
    <row r="12" spans="1:14" x14ac:dyDescent="0.25">
      <c r="B12" s="7" t="s">
        <v>14</v>
      </c>
      <c r="C12" s="112" t="s">
        <v>132</v>
      </c>
      <c r="D12" s="113"/>
      <c r="E12" s="113"/>
      <c r="F12" s="113"/>
      <c r="G12" s="114"/>
      <c r="I12" s="1">
        <v>100</v>
      </c>
      <c r="J12" s="1"/>
      <c r="K12" s="1"/>
      <c r="L12" s="1"/>
      <c r="M12" s="1">
        <f t="shared" si="0"/>
        <v>100</v>
      </c>
      <c r="N12" s="5"/>
    </row>
    <row r="13" spans="1:14" x14ac:dyDescent="0.25">
      <c r="B13" s="7" t="s">
        <v>15</v>
      </c>
      <c r="C13" s="112" t="s">
        <v>133</v>
      </c>
      <c r="D13" s="113"/>
      <c r="E13" s="113"/>
      <c r="F13" s="113"/>
      <c r="G13" s="114"/>
      <c r="I13" s="1">
        <v>100</v>
      </c>
      <c r="J13" s="1"/>
      <c r="K13" s="1"/>
      <c r="L13" s="1"/>
      <c r="M13" s="1">
        <f t="shared" si="0"/>
        <v>100</v>
      </c>
      <c r="N13" s="5"/>
    </row>
    <row r="14" spans="1:14" x14ac:dyDescent="0.25">
      <c r="B14" s="115"/>
      <c r="C14" s="86"/>
      <c r="D14" s="86"/>
      <c r="E14" s="86"/>
      <c r="F14" s="86"/>
      <c r="G14" s="87"/>
      <c r="H14" s="68">
        <f t="shared" ref="H14:M14" si="1">SUM(H9:H13)</f>
        <v>0</v>
      </c>
      <c r="I14" s="8">
        <f t="shared" si="1"/>
        <v>500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500</v>
      </c>
      <c r="N14" s="5"/>
    </row>
    <row r="15" spans="1:14" x14ac:dyDescent="0.25">
      <c r="A15" s="10"/>
      <c r="B15" s="116"/>
      <c r="C15" s="117"/>
      <c r="D15" s="117"/>
      <c r="E15" s="117"/>
      <c r="F15" s="117"/>
      <c r="G15" s="118"/>
      <c r="H15" s="10"/>
      <c r="I15" s="10"/>
      <c r="J15" s="10"/>
      <c r="K15" s="10"/>
      <c r="L15" s="10"/>
      <c r="M15" s="1"/>
      <c r="N15" s="5"/>
    </row>
    <row r="16" spans="1:14" x14ac:dyDescent="0.25">
      <c r="A16" s="10"/>
      <c r="B16" s="11"/>
      <c r="C16" s="11"/>
      <c r="D16" s="11"/>
      <c r="E16" s="11"/>
      <c r="F16" s="11"/>
      <c r="G16" s="11"/>
      <c r="H16" s="10"/>
      <c r="I16" s="10"/>
      <c r="J16" s="10"/>
      <c r="K16" s="10"/>
      <c r="L16" s="10"/>
      <c r="M16" s="1"/>
      <c r="N16" s="5"/>
    </row>
    <row r="17" spans="1:14" x14ac:dyDescent="0.25">
      <c r="A17" s="10"/>
      <c r="B17" s="104" t="s">
        <v>135</v>
      </c>
      <c r="C17" s="81"/>
      <c r="D17" s="81"/>
      <c r="E17" s="81"/>
      <c r="F17" s="81"/>
      <c r="G17" s="82"/>
      <c r="H17" s="3"/>
      <c r="I17" s="3"/>
      <c r="J17" s="3"/>
      <c r="K17" s="4"/>
      <c r="L17" s="3"/>
      <c r="M17" s="5"/>
      <c r="N17" s="5"/>
    </row>
    <row r="18" spans="1:14" x14ac:dyDescent="0.25">
      <c r="A18" s="10"/>
      <c r="B18" s="108"/>
      <c r="C18" s="81"/>
      <c r="D18" s="81"/>
      <c r="E18" s="81"/>
      <c r="F18" s="81"/>
      <c r="G18" s="81"/>
      <c r="H18" s="6" t="s">
        <v>6</v>
      </c>
      <c r="I18" s="6" t="s">
        <v>7</v>
      </c>
      <c r="J18" s="6" t="s">
        <v>8</v>
      </c>
      <c r="K18" s="6" t="s">
        <v>9</v>
      </c>
      <c r="L18" s="6" t="s">
        <v>10</v>
      </c>
      <c r="M18" s="6" t="s">
        <v>11</v>
      </c>
      <c r="N18" s="5"/>
    </row>
    <row r="19" spans="1:14" x14ac:dyDescent="0.25">
      <c r="A19" s="10"/>
      <c r="B19" s="7" t="s">
        <v>12</v>
      </c>
      <c r="C19" s="112" t="s">
        <v>136</v>
      </c>
      <c r="D19" s="113"/>
      <c r="E19" s="113"/>
      <c r="F19" s="113"/>
      <c r="G19" s="114"/>
      <c r="I19" s="1">
        <v>100</v>
      </c>
      <c r="J19" s="1"/>
      <c r="K19" s="1"/>
      <c r="L19" s="1"/>
      <c r="M19" s="1">
        <f t="shared" ref="M19:M23" si="2">+I19+J19+K19+L19</f>
        <v>100</v>
      </c>
      <c r="N19" s="5"/>
    </row>
    <row r="20" spans="1:14" x14ac:dyDescent="0.25">
      <c r="A20" s="10"/>
      <c r="B20" s="7" t="s">
        <v>13</v>
      </c>
      <c r="C20" s="112" t="s">
        <v>137</v>
      </c>
      <c r="D20" s="122"/>
      <c r="E20" s="122"/>
      <c r="F20" s="122"/>
      <c r="G20" s="123"/>
      <c r="I20" s="1">
        <v>100</v>
      </c>
      <c r="J20" s="1"/>
      <c r="K20" s="1"/>
      <c r="L20" s="1"/>
      <c r="M20" s="1">
        <f t="shared" si="2"/>
        <v>100</v>
      </c>
      <c r="N20" s="5"/>
    </row>
    <row r="21" spans="1:14" x14ac:dyDescent="0.25">
      <c r="A21" s="10"/>
      <c r="B21" s="7" t="s">
        <v>14</v>
      </c>
      <c r="C21" s="112" t="s">
        <v>138</v>
      </c>
      <c r="D21" s="113"/>
      <c r="E21" s="113"/>
      <c r="F21" s="113"/>
      <c r="G21" s="114"/>
      <c r="I21" s="1">
        <v>100</v>
      </c>
      <c r="J21" s="1"/>
      <c r="K21" s="1"/>
      <c r="L21" s="1"/>
      <c r="M21" s="1">
        <f t="shared" si="2"/>
        <v>100</v>
      </c>
      <c r="N21" s="5"/>
    </row>
    <row r="22" spans="1:14" ht="15" customHeight="1" x14ac:dyDescent="0.25">
      <c r="A22" s="10"/>
      <c r="B22" s="7" t="s">
        <v>15</v>
      </c>
      <c r="C22" s="112" t="s">
        <v>139</v>
      </c>
      <c r="D22" s="113"/>
      <c r="E22" s="113"/>
      <c r="F22" s="113"/>
      <c r="G22" s="114"/>
      <c r="I22" s="1">
        <v>100</v>
      </c>
      <c r="J22" s="1"/>
      <c r="K22" s="1"/>
      <c r="L22" s="1"/>
      <c r="M22" s="1">
        <f t="shared" si="2"/>
        <v>100</v>
      </c>
      <c r="N22" s="5"/>
    </row>
    <row r="23" spans="1:14" x14ac:dyDescent="0.25">
      <c r="A23" s="10"/>
      <c r="B23" s="7" t="s">
        <v>16</v>
      </c>
      <c r="C23" s="112" t="s">
        <v>87</v>
      </c>
      <c r="D23" s="113"/>
      <c r="E23" s="113"/>
      <c r="F23" s="113"/>
      <c r="G23" s="114"/>
      <c r="I23" s="1">
        <v>100</v>
      </c>
      <c r="J23" s="1"/>
      <c r="K23" s="1"/>
      <c r="L23" s="1"/>
      <c r="M23" s="1">
        <f t="shared" si="2"/>
        <v>100</v>
      </c>
      <c r="N23" s="5"/>
    </row>
    <row r="24" spans="1:14" x14ac:dyDescent="0.25">
      <c r="A24" s="10"/>
      <c r="B24" s="115"/>
      <c r="C24" s="86"/>
      <c r="D24" s="86"/>
      <c r="E24" s="86"/>
      <c r="F24" s="86"/>
      <c r="G24" s="87"/>
      <c r="H24" s="68">
        <f>SUM(H19:H23)</f>
        <v>0</v>
      </c>
      <c r="I24" s="8">
        <f>SUM(I19:I23)</f>
        <v>500</v>
      </c>
      <c r="J24" s="9">
        <f t="shared" ref="J24:K24" si="3">SUM(J19:J23)</f>
        <v>0</v>
      </c>
      <c r="K24" s="9">
        <f t="shared" si="3"/>
        <v>0</v>
      </c>
      <c r="L24" s="9">
        <f>SUM(L19:L23)</f>
        <v>0</v>
      </c>
      <c r="M24" s="9">
        <f>SUM(M19:M23)</f>
        <v>500</v>
      </c>
      <c r="N24" s="5"/>
    </row>
    <row r="25" spans="1:14" x14ac:dyDescent="0.25">
      <c r="A25" s="10"/>
      <c r="B25" s="116"/>
      <c r="C25" s="117"/>
      <c r="D25" s="117"/>
      <c r="E25" s="117"/>
      <c r="F25" s="117"/>
      <c r="G25" s="118"/>
      <c r="H25" s="10"/>
      <c r="I25" s="10"/>
      <c r="J25" s="10"/>
      <c r="K25" s="10"/>
      <c r="L25" s="10"/>
      <c r="M25" s="1"/>
      <c r="N25" s="5"/>
    </row>
    <row r="26" spans="1:14" x14ac:dyDescent="0.25">
      <c r="A26" s="10"/>
      <c r="B26" s="11"/>
      <c r="C26" s="11"/>
      <c r="D26" s="11"/>
      <c r="E26" s="11"/>
      <c r="F26" s="11"/>
      <c r="G26" s="11"/>
      <c r="H26" s="10"/>
      <c r="I26" s="10"/>
      <c r="J26" s="10"/>
      <c r="K26" s="10"/>
      <c r="L26" s="10"/>
      <c r="M26" s="1"/>
      <c r="N26" s="5"/>
    </row>
    <row r="27" spans="1:14" x14ac:dyDescent="0.25">
      <c r="A27" s="10"/>
      <c r="B27" s="104" t="s">
        <v>140</v>
      </c>
      <c r="C27" s="81"/>
      <c r="D27" s="81"/>
      <c r="E27" s="81"/>
      <c r="F27" s="81"/>
      <c r="G27" s="82"/>
      <c r="H27" s="3"/>
      <c r="I27" s="3"/>
      <c r="J27" s="3"/>
      <c r="K27" s="4"/>
      <c r="L27" s="3"/>
      <c r="M27" s="5"/>
      <c r="N27" s="5"/>
    </row>
    <row r="28" spans="1:14" x14ac:dyDescent="0.25">
      <c r="A28" s="10"/>
      <c r="B28" s="108"/>
      <c r="C28" s="81"/>
      <c r="D28" s="81"/>
      <c r="E28" s="81"/>
      <c r="F28" s="81"/>
      <c r="G28" s="81"/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11</v>
      </c>
      <c r="N28" s="5"/>
    </row>
    <row r="29" spans="1:14" x14ac:dyDescent="0.25">
      <c r="A29" s="10"/>
      <c r="B29" s="7" t="s">
        <v>12</v>
      </c>
      <c r="C29" s="105" t="s">
        <v>141</v>
      </c>
      <c r="D29" s="106"/>
      <c r="E29" s="106"/>
      <c r="F29" s="106"/>
      <c r="G29" s="107"/>
      <c r="H29">
        <v>175</v>
      </c>
      <c r="I29" s="1">
        <f>+H29/33*28</f>
        <v>148.48484848484847</v>
      </c>
      <c r="J29" s="1">
        <v>125</v>
      </c>
      <c r="K29" s="1"/>
      <c r="L29" s="1">
        <v>85</v>
      </c>
      <c r="M29" s="1">
        <f t="shared" ref="M29:M33" si="4">+I29+J29+K29+L29</f>
        <v>358.4848484848485</v>
      </c>
      <c r="N29" s="5"/>
    </row>
    <row r="30" spans="1:14" x14ac:dyDescent="0.25">
      <c r="A30" s="10"/>
      <c r="B30" s="7" t="s">
        <v>13</v>
      </c>
      <c r="C30" s="105" t="s">
        <v>142</v>
      </c>
      <c r="D30" s="106"/>
      <c r="E30" s="106"/>
      <c r="F30" s="106"/>
      <c r="G30" s="107"/>
      <c r="H30">
        <v>58</v>
      </c>
      <c r="I30" s="1">
        <f t="shared" ref="I30:I31" si="5">+H30/33*28</f>
        <v>49.212121212121211</v>
      </c>
      <c r="J30" s="1">
        <v>125</v>
      </c>
      <c r="K30" s="1"/>
      <c r="L30" s="1">
        <v>120</v>
      </c>
      <c r="M30" s="1">
        <f t="shared" si="4"/>
        <v>294.21212121212125</v>
      </c>
      <c r="N30" s="5"/>
    </row>
    <row r="31" spans="1:14" x14ac:dyDescent="0.25">
      <c r="A31" s="10"/>
      <c r="B31" s="7" t="s">
        <v>14</v>
      </c>
      <c r="C31" s="105" t="s">
        <v>143</v>
      </c>
      <c r="D31" s="106"/>
      <c r="E31" s="106"/>
      <c r="F31" s="106"/>
      <c r="G31" s="107"/>
      <c r="H31">
        <v>111</v>
      </c>
      <c r="I31" s="1">
        <f t="shared" si="5"/>
        <v>94.181818181818187</v>
      </c>
      <c r="J31" s="1"/>
      <c r="K31" s="1"/>
      <c r="L31" s="1">
        <v>85</v>
      </c>
      <c r="M31" s="1">
        <f t="shared" si="4"/>
        <v>179.18181818181819</v>
      </c>
      <c r="N31" s="5"/>
    </row>
    <row r="32" spans="1:14" x14ac:dyDescent="0.25">
      <c r="A32" s="10"/>
      <c r="B32" s="7" t="s">
        <v>15</v>
      </c>
      <c r="C32" s="105" t="s">
        <v>144</v>
      </c>
      <c r="D32" s="106"/>
      <c r="E32" s="106"/>
      <c r="F32" s="106"/>
      <c r="G32" s="107"/>
      <c r="I32" s="1">
        <v>100</v>
      </c>
      <c r="J32" s="1"/>
      <c r="K32" s="1"/>
      <c r="L32" s="1"/>
      <c r="M32" s="1">
        <f t="shared" si="4"/>
        <v>100</v>
      </c>
      <c r="N32" s="5"/>
    </row>
    <row r="33" spans="1:14" x14ac:dyDescent="0.25">
      <c r="A33" s="10"/>
      <c r="B33" s="7" t="s">
        <v>16</v>
      </c>
      <c r="C33" s="105" t="s">
        <v>145</v>
      </c>
      <c r="D33" s="106"/>
      <c r="E33" s="106"/>
      <c r="F33" s="106"/>
      <c r="G33" s="107"/>
      <c r="I33" s="1">
        <v>100</v>
      </c>
      <c r="J33" s="1"/>
      <c r="K33" s="1"/>
      <c r="L33" s="1"/>
      <c r="M33" s="1">
        <f t="shared" si="4"/>
        <v>100</v>
      </c>
      <c r="N33" s="5"/>
    </row>
    <row r="34" spans="1:14" x14ac:dyDescent="0.25">
      <c r="A34" s="10"/>
      <c r="B34" s="115"/>
      <c r="C34" s="86"/>
      <c r="D34" s="86"/>
      <c r="E34" s="86"/>
      <c r="F34" s="86"/>
      <c r="G34" s="87"/>
      <c r="H34" s="8">
        <f>SUM(H29:H33)</f>
        <v>344</v>
      </c>
      <c r="I34" s="8">
        <f>SUM(I29:I33)</f>
        <v>491.87878787878788</v>
      </c>
      <c r="J34" s="9">
        <f t="shared" ref="J34:K34" si="6">SUM(J29:J33)</f>
        <v>250</v>
      </c>
      <c r="K34" s="9">
        <f t="shared" si="6"/>
        <v>0</v>
      </c>
      <c r="L34" s="9">
        <f>SUM(L29:L33)</f>
        <v>290</v>
      </c>
      <c r="M34" s="9">
        <f>SUM(M29:M33)</f>
        <v>1031.878787878788</v>
      </c>
      <c r="N34" s="5"/>
    </row>
    <row r="35" spans="1:14" x14ac:dyDescent="0.25">
      <c r="A35" s="10"/>
      <c r="B35" s="116"/>
      <c r="C35" s="117"/>
      <c r="D35" s="117"/>
      <c r="E35" s="117"/>
      <c r="F35" s="117"/>
      <c r="G35" s="118"/>
      <c r="H35" s="10"/>
      <c r="I35" s="10"/>
      <c r="J35" s="10"/>
      <c r="K35" s="10"/>
      <c r="L35" s="10"/>
      <c r="M35" s="1"/>
      <c r="N35" s="5"/>
    </row>
    <row r="36" spans="1:14" x14ac:dyDescent="0.25">
      <c r="A36" s="10"/>
      <c r="B36" s="11"/>
      <c r="C36" s="11"/>
      <c r="D36" s="11"/>
      <c r="E36" s="11"/>
      <c r="F36" s="11"/>
      <c r="G36" s="11"/>
      <c r="H36" s="10"/>
      <c r="I36" s="10"/>
      <c r="J36" s="10"/>
      <c r="K36" s="10"/>
      <c r="L36" s="10"/>
      <c r="M36" s="1"/>
      <c r="N36" s="5"/>
    </row>
    <row r="37" spans="1:14" x14ac:dyDescent="0.25">
      <c r="A37" s="10"/>
      <c r="B37" s="104" t="s">
        <v>146</v>
      </c>
      <c r="C37" s="81"/>
      <c r="D37" s="81"/>
      <c r="E37" s="81"/>
      <c r="F37" s="81"/>
      <c r="G37" s="82"/>
      <c r="H37" s="3"/>
      <c r="I37" s="3"/>
      <c r="J37" s="3"/>
      <c r="K37" s="4"/>
      <c r="L37" s="3"/>
      <c r="M37" s="5"/>
      <c r="N37" s="5"/>
    </row>
    <row r="38" spans="1:14" x14ac:dyDescent="0.25">
      <c r="A38" s="10"/>
      <c r="B38" s="108"/>
      <c r="C38" s="81"/>
      <c r="D38" s="81"/>
      <c r="E38" s="81"/>
      <c r="F38" s="81"/>
      <c r="G38" s="81"/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5"/>
    </row>
    <row r="39" spans="1:14" x14ac:dyDescent="0.25">
      <c r="A39" s="10"/>
      <c r="B39" s="7" t="s">
        <v>12</v>
      </c>
      <c r="C39" s="105" t="s">
        <v>147</v>
      </c>
      <c r="D39" s="106"/>
      <c r="E39" s="106"/>
      <c r="F39" s="106"/>
      <c r="G39" s="107"/>
      <c r="I39" s="1">
        <v>100</v>
      </c>
      <c r="J39" s="1"/>
      <c r="K39" s="1"/>
      <c r="L39" s="1"/>
      <c r="M39" s="1">
        <f t="shared" ref="M39:M43" si="7">+I39+J39+K39+L39</f>
        <v>100</v>
      </c>
      <c r="N39" s="5"/>
    </row>
    <row r="40" spans="1:14" x14ac:dyDescent="0.25">
      <c r="A40" s="10"/>
      <c r="B40" s="7" t="s">
        <v>13</v>
      </c>
      <c r="C40" s="105" t="s">
        <v>148</v>
      </c>
      <c r="D40" s="106"/>
      <c r="E40" s="106"/>
      <c r="F40" s="106"/>
      <c r="G40" s="107"/>
      <c r="I40" s="1">
        <v>100</v>
      </c>
      <c r="J40" s="1"/>
      <c r="K40" s="1"/>
      <c r="L40" s="1"/>
      <c r="M40" s="1">
        <f t="shared" si="7"/>
        <v>100</v>
      </c>
      <c r="N40" s="5"/>
    </row>
    <row r="41" spans="1:14" x14ac:dyDescent="0.25">
      <c r="A41" s="10"/>
      <c r="B41" s="7" t="s">
        <v>14</v>
      </c>
      <c r="C41" s="105" t="s">
        <v>149</v>
      </c>
      <c r="D41" s="106"/>
      <c r="E41" s="106"/>
      <c r="F41" s="106"/>
      <c r="G41" s="107"/>
      <c r="I41" s="1">
        <v>100</v>
      </c>
      <c r="J41" s="1"/>
      <c r="K41" s="1"/>
      <c r="L41" s="1"/>
      <c r="M41" s="1">
        <f t="shared" si="7"/>
        <v>100</v>
      </c>
      <c r="N41" s="5"/>
    </row>
    <row r="42" spans="1:14" x14ac:dyDescent="0.25">
      <c r="A42" s="10"/>
      <c r="B42" s="7" t="s">
        <v>15</v>
      </c>
      <c r="C42" s="105" t="s">
        <v>150</v>
      </c>
      <c r="D42" s="106"/>
      <c r="E42" s="106"/>
      <c r="F42" s="106"/>
      <c r="G42" s="107"/>
      <c r="I42" s="1">
        <v>100</v>
      </c>
      <c r="J42" s="1"/>
      <c r="K42" s="1"/>
      <c r="L42" s="1"/>
      <c r="M42" s="1">
        <f t="shared" si="7"/>
        <v>100</v>
      </c>
      <c r="N42" s="5"/>
    </row>
    <row r="43" spans="1:14" x14ac:dyDescent="0.25">
      <c r="A43" s="10"/>
      <c r="B43" s="7" t="s">
        <v>16</v>
      </c>
      <c r="C43" s="105" t="s">
        <v>151</v>
      </c>
      <c r="D43" s="106"/>
      <c r="E43" s="106"/>
      <c r="F43" s="106"/>
      <c r="G43" s="107"/>
      <c r="I43" s="1">
        <v>100</v>
      </c>
      <c r="J43" s="1"/>
      <c r="K43" s="1"/>
      <c r="L43" s="1"/>
      <c r="M43" s="1">
        <f t="shared" si="7"/>
        <v>100</v>
      </c>
      <c r="N43" s="5"/>
    </row>
    <row r="44" spans="1:14" x14ac:dyDescent="0.25">
      <c r="A44" s="10"/>
      <c r="B44" s="115"/>
      <c r="C44" s="86"/>
      <c r="D44" s="86"/>
      <c r="E44" s="86"/>
      <c r="F44" s="86"/>
      <c r="G44" s="87"/>
      <c r="H44" s="8">
        <f>SUM(H39:H43)</f>
        <v>0</v>
      </c>
      <c r="I44" s="8">
        <f>SUM(I39:I43)</f>
        <v>500</v>
      </c>
      <c r="J44" s="9">
        <f t="shared" ref="J44:K44" si="8">SUM(J39:J43)</f>
        <v>0</v>
      </c>
      <c r="K44" s="9">
        <f t="shared" si="8"/>
        <v>0</v>
      </c>
      <c r="L44" s="9">
        <f>SUM(L39:L43)</f>
        <v>0</v>
      </c>
      <c r="M44" s="9">
        <f>SUM(M39:M43)</f>
        <v>500</v>
      </c>
      <c r="N44" s="5"/>
    </row>
    <row r="45" spans="1:14" x14ac:dyDescent="0.25">
      <c r="A45" s="10"/>
      <c r="B45" s="116"/>
      <c r="C45" s="117"/>
      <c r="D45" s="117"/>
      <c r="E45" s="117"/>
      <c r="F45" s="117"/>
      <c r="G45" s="118"/>
      <c r="H45" s="10"/>
      <c r="I45" s="10"/>
      <c r="J45" s="10"/>
      <c r="K45" s="10"/>
      <c r="L45" s="10"/>
      <c r="M45" s="1"/>
      <c r="N45" s="5"/>
    </row>
    <row r="46" spans="1:14" x14ac:dyDescent="0.25">
      <c r="A46" s="10"/>
      <c r="B46" s="12" t="s">
        <v>71</v>
      </c>
      <c r="C46" s="12" t="s">
        <v>72</v>
      </c>
      <c r="D46" s="11"/>
      <c r="E46" s="11"/>
      <c r="F46" s="11"/>
      <c r="G46" s="11"/>
      <c r="H46" s="10"/>
      <c r="I46" s="10"/>
      <c r="J46" s="10"/>
      <c r="K46" s="10"/>
      <c r="L46" s="10"/>
      <c r="M46" s="1"/>
      <c r="N46" s="5"/>
    </row>
    <row r="47" spans="1:14" ht="15.75" customHeight="1" x14ac:dyDescent="0.25">
      <c r="C47" s="3" t="s">
        <v>73</v>
      </c>
      <c r="E47" s="1"/>
      <c r="F47" s="1"/>
    </row>
    <row r="48" spans="1:14" ht="15.75" customHeight="1" x14ac:dyDescent="0.25">
      <c r="C48" s="3" t="s">
        <v>74</v>
      </c>
      <c r="E48" s="1"/>
      <c r="F48" s="1"/>
    </row>
    <row r="49" spans="3:14" ht="15.75" customHeight="1" x14ac:dyDescent="0.25">
      <c r="C49" s="3" t="s">
        <v>75</v>
      </c>
      <c r="E49" s="1"/>
      <c r="F49" s="1"/>
    </row>
    <row r="50" spans="3:14" ht="15.75" customHeight="1" x14ac:dyDescent="0.25">
      <c r="C50" s="3"/>
      <c r="E50" s="1"/>
      <c r="F50" s="1"/>
    </row>
    <row r="51" spans="3:14" ht="15.75" customHeight="1" x14ac:dyDescent="0.25">
      <c r="C51" s="3"/>
      <c r="E51" s="1"/>
      <c r="F51" s="1"/>
    </row>
    <row r="52" spans="3:14" ht="15.75" customHeight="1" x14ac:dyDescent="0.25">
      <c r="C52" s="3"/>
      <c r="E52" s="1"/>
      <c r="F52" s="1"/>
    </row>
    <row r="53" spans="3:14" ht="15.75" customHeight="1" x14ac:dyDescent="0.25">
      <c r="M53" s="1"/>
      <c r="N53" s="1"/>
    </row>
    <row r="54" spans="3:14" ht="15.75" customHeight="1" x14ac:dyDescent="0.25">
      <c r="M54" s="1"/>
      <c r="N54" s="1"/>
    </row>
    <row r="55" spans="3:14" ht="15.75" customHeight="1" x14ac:dyDescent="0.25">
      <c r="M55" s="1"/>
      <c r="N55" s="1"/>
    </row>
    <row r="56" spans="3:14" ht="15.75" customHeight="1" x14ac:dyDescent="0.25">
      <c r="M56" s="1"/>
      <c r="N56" s="1"/>
    </row>
    <row r="57" spans="3:14" ht="15.75" customHeight="1" x14ac:dyDescent="0.25">
      <c r="M57" s="1"/>
      <c r="N57" s="1"/>
    </row>
    <row r="58" spans="3:14" ht="15.75" customHeight="1" x14ac:dyDescent="0.25">
      <c r="M58" s="1"/>
      <c r="N58" s="1"/>
    </row>
    <row r="59" spans="3:14" ht="15.75" customHeight="1" x14ac:dyDescent="0.25">
      <c r="M59" s="1"/>
      <c r="N59" s="1"/>
    </row>
    <row r="60" spans="3:14" ht="15.75" customHeight="1" x14ac:dyDescent="0.25">
      <c r="M60" s="1"/>
      <c r="N60" s="1"/>
    </row>
    <row r="61" spans="3:14" ht="15.75" customHeight="1" x14ac:dyDescent="0.25">
      <c r="M61" s="1"/>
      <c r="N61" s="1"/>
    </row>
    <row r="62" spans="3:14" ht="15.75" customHeight="1" x14ac:dyDescent="0.25">
      <c r="M62" s="1"/>
      <c r="N62" s="1"/>
    </row>
    <row r="63" spans="3:14" ht="15.75" customHeight="1" x14ac:dyDescent="0.25">
      <c r="M63" s="1"/>
      <c r="N63" s="1"/>
    </row>
    <row r="64" spans="3:14" ht="15.75" customHeight="1" x14ac:dyDescent="0.25">
      <c r="M64" s="1"/>
      <c r="N64" s="1"/>
    </row>
    <row r="65" spans="13:14" ht="15.75" customHeight="1" x14ac:dyDescent="0.25">
      <c r="M65" s="1"/>
      <c r="N65" s="1"/>
    </row>
    <row r="66" spans="13:14" ht="15.75" customHeight="1" x14ac:dyDescent="0.25">
      <c r="M66" s="1"/>
      <c r="N66" s="1"/>
    </row>
    <row r="67" spans="13:14" ht="15.75" customHeight="1" x14ac:dyDescent="0.25">
      <c r="M67" s="1"/>
      <c r="N67" s="1"/>
    </row>
    <row r="68" spans="13:14" ht="15.75" customHeight="1" x14ac:dyDescent="0.25">
      <c r="M68" s="1"/>
      <c r="N68" s="1"/>
    </row>
    <row r="69" spans="13:14" ht="15.75" customHeight="1" x14ac:dyDescent="0.25">
      <c r="M69" s="1"/>
      <c r="N69" s="1"/>
    </row>
    <row r="70" spans="13:14" ht="15.75" customHeight="1" x14ac:dyDescent="0.25">
      <c r="M70" s="1"/>
      <c r="N70" s="1"/>
    </row>
    <row r="71" spans="13:14" ht="15.75" customHeight="1" x14ac:dyDescent="0.25">
      <c r="M71" s="1"/>
      <c r="N71" s="1"/>
    </row>
    <row r="72" spans="13:14" ht="15.75" customHeight="1" x14ac:dyDescent="0.25">
      <c r="M72" s="1"/>
      <c r="N72" s="1"/>
    </row>
    <row r="73" spans="13:14" ht="15.75" customHeight="1" x14ac:dyDescent="0.25">
      <c r="M73" s="1"/>
      <c r="N73" s="1"/>
    </row>
    <row r="74" spans="13:14" ht="15.75" customHeight="1" x14ac:dyDescent="0.25">
      <c r="M74" s="1"/>
      <c r="N74" s="1"/>
    </row>
    <row r="75" spans="13:14" ht="15.75" customHeight="1" x14ac:dyDescent="0.25">
      <c r="M75" s="1"/>
      <c r="N75" s="1"/>
    </row>
    <row r="76" spans="13:14" ht="15.75" customHeight="1" x14ac:dyDescent="0.25">
      <c r="M76" s="1"/>
      <c r="N76" s="1"/>
    </row>
    <row r="77" spans="13:14" ht="15.75" customHeight="1" x14ac:dyDescent="0.25">
      <c r="M77" s="1"/>
      <c r="N77" s="1"/>
    </row>
    <row r="78" spans="13:14" ht="15.75" customHeight="1" x14ac:dyDescent="0.25">
      <c r="M78" s="1"/>
      <c r="N78" s="1"/>
    </row>
    <row r="79" spans="13:14" ht="15.75" customHeight="1" x14ac:dyDescent="0.25">
      <c r="M79" s="1"/>
      <c r="N79" s="1"/>
    </row>
    <row r="80" spans="1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  <row r="93" spans="13:14" ht="15.75" customHeight="1" x14ac:dyDescent="0.25">
      <c r="M93" s="1"/>
      <c r="N93" s="1"/>
    </row>
  </sheetData>
  <mergeCells count="37">
    <mergeCell ref="C11:G11"/>
    <mergeCell ref="C9:G9"/>
    <mergeCell ref="C10:G10"/>
    <mergeCell ref="B5:G6"/>
    <mergeCell ref="B8:G8"/>
    <mergeCell ref="B38:G38"/>
    <mergeCell ref="B44:G45"/>
    <mergeCell ref="B1:G1"/>
    <mergeCell ref="C12:G12"/>
    <mergeCell ref="C43:G43"/>
    <mergeCell ref="C22:G22"/>
    <mergeCell ref="B34:G35"/>
    <mergeCell ref="C41:G41"/>
    <mergeCell ref="C40:G40"/>
    <mergeCell ref="C39:G39"/>
    <mergeCell ref="C32:G32"/>
    <mergeCell ref="B18:G18"/>
    <mergeCell ref="C42:G42"/>
    <mergeCell ref="B17:G17"/>
    <mergeCell ref="C30:G30"/>
    <mergeCell ref="C19:G19"/>
    <mergeCell ref="B14:G15"/>
    <mergeCell ref="C2:G2"/>
    <mergeCell ref="B37:G37"/>
    <mergeCell ref="C20:G20"/>
    <mergeCell ref="C33:G33"/>
    <mergeCell ref="B28:G28"/>
    <mergeCell ref="C31:G31"/>
    <mergeCell ref="C21:G21"/>
    <mergeCell ref="C23:G23"/>
    <mergeCell ref="B24:G25"/>
    <mergeCell ref="B27:G27"/>
    <mergeCell ref="C13:G13"/>
    <mergeCell ref="C3:G3"/>
    <mergeCell ref="B7:G7"/>
    <mergeCell ref="C29:G29"/>
    <mergeCell ref="C4:G4"/>
  </mergeCells>
  <pageMargins left="0.23622047244094491" right="0.23622047244094491" top="0.74803149606299213" bottom="0.74803149606299213" header="0" footer="0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opLeftCell="A14" workbookViewId="0">
      <selection activeCell="A52" sqref="A52:XFD80"/>
    </sheetView>
  </sheetViews>
  <sheetFormatPr baseColWidth="10" defaultColWidth="14" defaultRowHeight="15" customHeight="1" x14ac:dyDescent="0.25"/>
  <cols>
    <col min="1" max="1" width="4" customWidth="1"/>
    <col min="2" max="2" width="14.28515625" customWidth="1"/>
    <col min="3" max="3" width="8.7109375" customWidth="1"/>
    <col min="4" max="6" width="11.42578125" customWidth="1"/>
    <col min="7" max="7" width="20.85546875" customWidth="1"/>
    <col min="8" max="8" width="11.42578125" customWidth="1"/>
    <col min="9" max="9" width="15.140625" customWidth="1"/>
    <col min="10" max="13" width="11.42578125" customWidth="1"/>
    <col min="14" max="14" width="10" customWidth="1"/>
  </cols>
  <sheetData>
    <row r="1" spans="1:14" ht="33.75" x14ac:dyDescent="0.5">
      <c r="B1" s="84" t="s">
        <v>0</v>
      </c>
      <c r="C1" s="81"/>
      <c r="D1" s="81"/>
      <c r="E1" s="81"/>
      <c r="F1" s="81"/>
      <c r="G1" s="82"/>
      <c r="M1" s="1"/>
      <c r="N1" s="1"/>
    </row>
    <row r="2" spans="1:14" x14ac:dyDescent="0.25">
      <c r="B2" s="2" t="s">
        <v>1</v>
      </c>
      <c r="C2" s="83" t="s">
        <v>152</v>
      </c>
      <c r="D2" s="81"/>
      <c r="E2" s="81"/>
      <c r="F2" s="81"/>
      <c r="G2" s="82"/>
      <c r="M2" s="1"/>
      <c r="N2" s="1"/>
    </row>
    <row r="3" spans="1:14" x14ac:dyDescent="0.25">
      <c r="B3" s="2" t="s">
        <v>2</v>
      </c>
      <c r="C3" s="83" t="s">
        <v>153</v>
      </c>
      <c r="D3" s="81"/>
      <c r="E3" s="81"/>
      <c r="F3" s="81"/>
      <c r="G3" s="82"/>
      <c r="M3" s="1"/>
      <c r="N3" s="1"/>
    </row>
    <row r="4" spans="1:14" x14ac:dyDescent="0.25">
      <c r="B4" s="2" t="s">
        <v>3</v>
      </c>
      <c r="C4" s="83" t="s">
        <v>128</v>
      </c>
      <c r="D4" s="81"/>
      <c r="E4" s="81"/>
      <c r="F4" s="81"/>
      <c r="G4" s="82"/>
      <c r="M4" s="1"/>
      <c r="N4" s="1"/>
    </row>
    <row r="5" spans="1:14" x14ac:dyDescent="0.25">
      <c r="B5" s="85"/>
      <c r="C5" s="86"/>
      <c r="D5" s="86"/>
      <c r="E5" s="86"/>
      <c r="F5" s="86"/>
      <c r="G5" s="87"/>
      <c r="M5" s="1"/>
      <c r="N5" s="1"/>
    </row>
    <row r="6" spans="1:14" x14ac:dyDescent="0.25">
      <c r="B6" s="88"/>
      <c r="C6" s="89"/>
      <c r="D6" s="89"/>
      <c r="E6" s="89"/>
      <c r="F6" s="89"/>
      <c r="G6" s="90"/>
      <c r="M6" s="1"/>
      <c r="N6" s="1"/>
    </row>
    <row r="7" spans="1:14" x14ac:dyDescent="0.25">
      <c r="B7" s="104" t="s">
        <v>154</v>
      </c>
      <c r="C7" s="81"/>
      <c r="D7" s="81"/>
      <c r="E7" s="81"/>
      <c r="F7" s="81"/>
      <c r="G7" s="82"/>
      <c r="H7" s="3"/>
      <c r="I7" s="3"/>
      <c r="J7" s="3"/>
      <c r="K7" s="4"/>
      <c r="L7" s="3"/>
      <c r="M7" s="5"/>
      <c r="N7" s="5"/>
    </row>
    <row r="8" spans="1:14" x14ac:dyDescent="0.25">
      <c r="B8" s="108"/>
      <c r="C8" s="81"/>
      <c r="D8" s="81"/>
      <c r="E8" s="81"/>
      <c r="F8" s="81"/>
      <c r="G8" s="81"/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5"/>
    </row>
    <row r="9" spans="1:14" x14ac:dyDescent="0.25">
      <c r="B9" s="7" t="s">
        <v>14</v>
      </c>
      <c r="C9" s="105" t="s">
        <v>155</v>
      </c>
      <c r="D9" s="106"/>
      <c r="E9" s="106"/>
      <c r="F9" s="106"/>
      <c r="G9" s="107"/>
      <c r="I9" s="1">
        <v>100</v>
      </c>
      <c r="J9" s="1"/>
      <c r="K9" s="1"/>
      <c r="L9" s="1"/>
      <c r="M9" s="1">
        <f t="shared" ref="M9:M13" si="0">+I9+J9+K9+L9</f>
        <v>100</v>
      </c>
      <c r="N9" s="5"/>
    </row>
    <row r="10" spans="1:14" x14ac:dyDescent="0.25">
      <c r="B10" s="7" t="s">
        <v>15</v>
      </c>
      <c r="C10" s="105" t="s">
        <v>156</v>
      </c>
      <c r="D10" s="106"/>
      <c r="E10" s="106"/>
      <c r="F10" s="106"/>
      <c r="G10" s="107"/>
      <c r="I10" s="1">
        <v>100</v>
      </c>
      <c r="J10" s="1"/>
      <c r="K10" s="1"/>
      <c r="L10" s="1"/>
      <c r="M10" s="1">
        <f t="shared" si="0"/>
        <v>100</v>
      </c>
      <c r="N10" s="5"/>
    </row>
    <row r="11" spans="1:14" x14ac:dyDescent="0.25">
      <c r="B11" s="7" t="s">
        <v>16</v>
      </c>
      <c r="C11" s="105" t="s">
        <v>157</v>
      </c>
      <c r="D11" s="106"/>
      <c r="E11" s="106"/>
      <c r="F11" s="106"/>
      <c r="G11" s="107"/>
      <c r="I11" s="1">
        <v>100</v>
      </c>
      <c r="J11" s="1"/>
      <c r="K11" s="1"/>
      <c r="L11" s="1"/>
      <c r="M11" s="1">
        <f>+I11+J11+K11+L11</f>
        <v>100</v>
      </c>
      <c r="N11" s="5"/>
    </row>
    <row r="12" spans="1:14" x14ac:dyDescent="0.25">
      <c r="B12" s="7" t="s">
        <v>67</v>
      </c>
      <c r="C12" s="105" t="s">
        <v>158</v>
      </c>
      <c r="D12" s="106"/>
      <c r="E12" s="106"/>
      <c r="F12" s="106"/>
      <c r="G12" s="107"/>
      <c r="I12" s="1">
        <v>100</v>
      </c>
      <c r="J12" s="1"/>
      <c r="K12" s="1"/>
      <c r="L12" s="1"/>
      <c r="M12" s="1">
        <f t="shared" si="0"/>
        <v>100</v>
      </c>
      <c r="N12" s="5"/>
    </row>
    <row r="13" spans="1:14" x14ac:dyDescent="0.25">
      <c r="B13" s="7" t="s">
        <v>68</v>
      </c>
      <c r="C13" s="105" t="s">
        <v>159</v>
      </c>
      <c r="D13" s="106"/>
      <c r="E13" s="106"/>
      <c r="F13" s="106"/>
      <c r="G13" s="107"/>
      <c r="I13" s="1">
        <v>100</v>
      </c>
      <c r="J13" s="1"/>
      <c r="K13" s="1"/>
      <c r="L13" s="1"/>
      <c r="M13" s="1">
        <f t="shared" si="0"/>
        <v>100</v>
      </c>
      <c r="N13" s="5"/>
    </row>
    <row r="14" spans="1:14" x14ac:dyDescent="0.25">
      <c r="B14" s="115"/>
      <c r="C14" s="86"/>
      <c r="D14" s="86"/>
      <c r="E14" s="86"/>
      <c r="F14" s="86"/>
      <c r="G14" s="87"/>
      <c r="H14" s="8">
        <f t="shared" ref="H14:M14" si="1">SUM(H9:H13)</f>
        <v>0</v>
      </c>
      <c r="I14" s="8">
        <f t="shared" si="1"/>
        <v>500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500</v>
      </c>
      <c r="N14" s="5"/>
    </row>
    <row r="15" spans="1:14" x14ac:dyDescent="0.25">
      <c r="A15" s="10"/>
      <c r="B15" s="116"/>
      <c r="C15" s="117"/>
      <c r="D15" s="117"/>
      <c r="E15" s="117"/>
      <c r="F15" s="117"/>
      <c r="G15" s="118"/>
      <c r="H15" s="10"/>
      <c r="I15" s="10"/>
      <c r="J15" s="10"/>
      <c r="K15" s="10"/>
      <c r="L15" s="10"/>
      <c r="M15" s="1"/>
      <c r="N15" s="5"/>
    </row>
    <row r="16" spans="1:14" x14ac:dyDescent="0.25">
      <c r="A16" s="10"/>
      <c r="B16" s="11"/>
      <c r="C16" s="11"/>
      <c r="D16" s="11"/>
      <c r="E16" s="11"/>
      <c r="F16" s="11"/>
      <c r="G16" s="11"/>
      <c r="H16" s="10"/>
      <c r="I16" s="10"/>
      <c r="J16" s="10"/>
      <c r="K16" s="10"/>
      <c r="L16" s="10"/>
      <c r="M16" s="1"/>
      <c r="N16" s="5"/>
    </row>
    <row r="17" spans="1:14" x14ac:dyDescent="0.25">
      <c r="A17" s="10"/>
      <c r="B17" s="104" t="s">
        <v>160</v>
      </c>
      <c r="C17" s="81"/>
      <c r="D17" s="81"/>
      <c r="E17" s="81"/>
      <c r="F17" s="81"/>
      <c r="G17" s="82"/>
      <c r="H17" s="3"/>
      <c r="I17" s="3"/>
      <c r="J17" s="3"/>
      <c r="K17" s="4"/>
      <c r="L17" s="3"/>
      <c r="M17" s="5"/>
      <c r="N17" s="5"/>
    </row>
    <row r="18" spans="1:14" x14ac:dyDescent="0.25">
      <c r="A18" s="10"/>
      <c r="B18" s="108"/>
      <c r="C18" s="81"/>
      <c r="D18" s="81"/>
      <c r="E18" s="81"/>
      <c r="F18" s="81"/>
      <c r="G18" s="81"/>
      <c r="H18" s="6" t="s">
        <v>6</v>
      </c>
      <c r="I18" s="6" t="s">
        <v>7</v>
      </c>
      <c r="J18" s="6" t="s">
        <v>8</v>
      </c>
      <c r="K18" s="6" t="s">
        <v>9</v>
      </c>
      <c r="L18" s="6" t="s">
        <v>10</v>
      </c>
      <c r="M18" s="6" t="s">
        <v>11</v>
      </c>
      <c r="N18" s="5"/>
    </row>
    <row r="19" spans="1:14" x14ac:dyDescent="0.25">
      <c r="A19" s="10"/>
      <c r="B19" s="7" t="s">
        <v>14</v>
      </c>
      <c r="C19" s="105" t="s">
        <v>161</v>
      </c>
      <c r="D19" s="106"/>
      <c r="E19" s="106"/>
      <c r="F19" s="106"/>
      <c r="G19" s="107"/>
      <c r="I19" s="1">
        <v>100</v>
      </c>
      <c r="J19" s="1"/>
      <c r="K19" s="1"/>
      <c r="L19" s="1"/>
      <c r="M19" s="1">
        <f t="shared" ref="M19:M23" si="2">+I19+J19+K19+L19</f>
        <v>100</v>
      </c>
      <c r="N19" s="5"/>
    </row>
    <row r="20" spans="1:14" x14ac:dyDescent="0.25">
      <c r="A20" s="10"/>
      <c r="B20" s="7" t="s">
        <v>15</v>
      </c>
      <c r="C20" s="105" t="s">
        <v>162</v>
      </c>
      <c r="D20" s="106"/>
      <c r="E20" s="106"/>
      <c r="F20" s="106"/>
      <c r="G20" s="107"/>
      <c r="I20" s="1">
        <v>100</v>
      </c>
      <c r="J20" s="1"/>
      <c r="K20" s="1"/>
      <c r="L20" s="1"/>
      <c r="M20" s="1">
        <f t="shared" si="2"/>
        <v>100</v>
      </c>
      <c r="N20" s="5"/>
    </row>
    <row r="21" spans="1:14" x14ac:dyDescent="0.25">
      <c r="A21" s="10"/>
      <c r="B21" s="7" t="s">
        <v>16</v>
      </c>
      <c r="C21" s="105" t="s">
        <v>163</v>
      </c>
      <c r="D21" s="106"/>
      <c r="E21" s="106"/>
      <c r="F21" s="106"/>
      <c r="G21" s="107"/>
      <c r="I21" s="1">
        <v>100</v>
      </c>
      <c r="J21" s="1"/>
      <c r="K21" s="1"/>
      <c r="L21" s="1"/>
      <c r="M21" s="1">
        <f t="shared" si="2"/>
        <v>100</v>
      </c>
      <c r="N21" s="5"/>
    </row>
    <row r="22" spans="1:14" ht="15" customHeight="1" x14ac:dyDescent="0.25">
      <c r="A22" s="10"/>
      <c r="B22" s="7" t="s">
        <v>67</v>
      </c>
      <c r="C22" s="105" t="s">
        <v>164</v>
      </c>
      <c r="D22" s="106"/>
      <c r="E22" s="106"/>
      <c r="F22" s="106"/>
      <c r="G22" s="107"/>
      <c r="I22" s="1">
        <v>100</v>
      </c>
      <c r="J22" s="1"/>
      <c r="K22" s="1"/>
      <c r="L22" s="1"/>
      <c r="M22" s="1">
        <f t="shared" si="2"/>
        <v>100</v>
      </c>
      <c r="N22" s="5"/>
    </row>
    <row r="23" spans="1:14" x14ac:dyDescent="0.25">
      <c r="A23" s="10"/>
      <c r="B23" s="7" t="s">
        <v>68</v>
      </c>
      <c r="C23" s="105" t="s">
        <v>165</v>
      </c>
      <c r="D23" s="106"/>
      <c r="E23" s="106"/>
      <c r="F23" s="106"/>
      <c r="G23" s="107"/>
      <c r="I23" s="1">
        <v>100</v>
      </c>
      <c r="J23" s="1"/>
      <c r="K23" s="1"/>
      <c r="L23" s="1"/>
      <c r="M23" s="1">
        <f t="shared" si="2"/>
        <v>100</v>
      </c>
      <c r="N23" s="5"/>
    </row>
    <row r="24" spans="1:14" x14ac:dyDescent="0.25">
      <c r="A24" s="10"/>
      <c r="B24" s="115"/>
      <c r="C24" s="86"/>
      <c r="D24" s="86"/>
      <c r="E24" s="86"/>
      <c r="F24" s="86"/>
      <c r="G24" s="87"/>
      <c r="H24" s="8">
        <f>SUM(H19:H23)</f>
        <v>0</v>
      </c>
      <c r="I24" s="8">
        <f>SUM(I19:I23)</f>
        <v>500</v>
      </c>
      <c r="J24" s="9">
        <f t="shared" ref="J24:K24" si="3">SUM(J19:J23)</f>
        <v>0</v>
      </c>
      <c r="K24" s="9">
        <f t="shared" si="3"/>
        <v>0</v>
      </c>
      <c r="L24" s="9">
        <f>SUM(L19:L23)</f>
        <v>0</v>
      </c>
      <c r="M24" s="9">
        <f>SUM(M19:M23)</f>
        <v>500</v>
      </c>
      <c r="N24" s="5"/>
    </row>
    <row r="25" spans="1:14" x14ac:dyDescent="0.25">
      <c r="A25" s="10"/>
      <c r="B25" s="116"/>
      <c r="C25" s="117"/>
      <c r="D25" s="117"/>
      <c r="E25" s="117"/>
      <c r="F25" s="117"/>
      <c r="G25" s="118"/>
      <c r="H25" s="10"/>
      <c r="I25" s="10"/>
      <c r="J25" s="10"/>
      <c r="K25" s="10"/>
      <c r="L25" s="10"/>
      <c r="M25" s="1"/>
      <c r="N25" s="5"/>
    </row>
    <row r="26" spans="1:14" x14ac:dyDescent="0.25">
      <c r="A26" s="10"/>
      <c r="B26" s="11"/>
      <c r="C26" s="11"/>
      <c r="D26" s="11"/>
      <c r="E26" s="11"/>
      <c r="F26" s="11"/>
      <c r="G26" s="11"/>
      <c r="H26" s="10"/>
      <c r="I26" s="10"/>
      <c r="J26" s="10"/>
      <c r="K26" s="10"/>
      <c r="L26" s="10"/>
      <c r="M26" s="1"/>
      <c r="N26" s="5"/>
    </row>
    <row r="27" spans="1:14" x14ac:dyDescent="0.25">
      <c r="A27" s="10"/>
      <c r="B27" s="104" t="s">
        <v>166</v>
      </c>
      <c r="C27" s="81"/>
      <c r="D27" s="81"/>
      <c r="E27" s="81"/>
      <c r="F27" s="81"/>
      <c r="G27" s="82"/>
      <c r="H27" s="3"/>
      <c r="I27" s="3"/>
      <c r="J27" s="3"/>
      <c r="K27" s="4"/>
      <c r="L27" s="3"/>
      <c r="M27" s="5"/>
      <c r="N27" s="5"/>
    </row>
    <row r="28" spans="1:14" x14ac:dyDescent="0.25">
      <c r="A28" s="10"/>
      <c r="B28" s="108"/>
      <c r="C28" s="81"/>
      <c r="D28" s="81"/>
      <c r="E28" s="81"/>
      <c r="F28" s="81"/>
      <c r="G28" s="81"/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11</v>
      </c>
      <c r="N28" s="5"/>
    </row>
    <row r="29" spans="1:14" x14ac:dyDescent="0.25">
      <c r="A29" s="10"/>
      <c r="B29" s="7" t="s">
        <v>14</v>
      </c>
      <c r="C29" s="105" t="s">
        <v>167</v>
      </c>
      <c r="D29" s="106"/>
      <c r="E29" s="106"/>
      <c r="F29" s="106"/>
      <c r="G29" s="107"/>
      <c r="I29" s="1">
        <v>100</v>
      </c>
      <c r="J29" s="1"/>
      <c r="K29" s="1"/>
      <c r="L29" s="1"/>
      <c r="M29" s="1">
        <f t="shared" ref="M29:M33" si="4">+I29+J29+K29+L29</f>
        <v>100</v>
      </c>
      <c r="N29" s="5"/>
    </row>
    <row r="30" spans="1:14" x14ac:dyDescent="0.25">
      <c r="A30" s="10"/>
      <c r="B30" s="7" t="s">
        <v>15</v>
      </c>
      <c r="C30" s="105" t="s">
        <v>168</v>
      </c>
      <c r="D30" s="106"/>
      <c r="E30" s="106"/>
      <c r="F30" s="106"/>
      <c r="G30" s="107"/>
      <c r="I30" s="1">
        <v>100</v>
      </c>
      <c r="J30" s="1"/>
      <c r="K30" s="1"/>
      <c r="L30" s="1"/>
      <c r="M30" s="1">
        <f t="shared" si="4"/>
        <v>100</v>
      </c>
      <c r="N30" s="5"/>
    </row>
    <row r="31" spans="1:14" x14ac:dyDescent="0.25">
      <c r="A31" s="10"/>
      <c r="B31" s="7" t="s">
        <v>16</v>
      </c>
      <c r="C31" s="105" t="s">
        <v>169</v>
      </c>
      <c r="D31" s="106"/>
      <c r="E31" s="106"/>
      <c r="F31" s="106"/>
      <c r="G31" s="107"/>
      <c r="I31" s="1">
        <v>100</v>
      </c>
      <c r="J31" s="1"/>
      <c r="K31" s="1"/>
      <c r="L31" s="1"/>
      <c r="M31" s="1">
        <f t="shared" si="4"/>
        <v>100</v>
      </c>
      <c r="N31" s="5"/>
    </row>
    <row r="32" spans="1:14" x14ac:dyDescent="0.25">
      <c r="A32" s="10"/>
      <c r="B32" s="7" t="s">
        <v>67</v>
      </c>
      <c r="C32" s="105" t="s">
        <v>170</v>
      </c>
      <c r="D32" s="106"/>
      <c r="E32" s="106"/>
      <c r="F32" s="106"/>
      <c r="G32" s="107"/>
      <c r="I32" s="1">
        <v>100</v>
      </c>
      <c r="J32" s="1"/>
      <c r="K32" s="1"/>
      <c r="L32" s="1"/>
      <c r="M32" s="1">
        <f t="shared" si="4"/>
        <v>100</v>
      </c>
      <c r="N32" s="5"/>
    </row>
    <row r="33" spans="1:14" x14ac:dyDescent="0.25">
      <c r="A33" s="10"/>
      <c r="B33" s="7" t="s">
        <v>68</v>
      </c>
      <c r="C33" s="105" t="s">
        <v>171</v>
      </c>
      <c r="D33" s="106"/>
      <c r="E33" s="106"/>
      <c r="F33" s="106"/>
      <c r="G33" s="107"/>
      <c r="I33" s="1">
        <v>100</v>
      </c>
      <c r="J33" s="1"/>
      <c r="K33" s="1"/>
      <c r="L33" s="1"/>
      <c r="M33" s="1">
        <f t="shared" si="4"/>
        <v>100</v>
      </c>
      <c r="N33" s="5"/>
    </row>
    <row r="34" spans="1:14" x14ac:dyDescent="0.25">
      <c r="A34" s="10"/>
      <c r="B34" s="115"/>
      <c r="C34" s="86"/>
      <c r="D34" s="86"/>
      <c r="E34" s="86"/>
      <c r="F34" s="86"/>
      <c r="G34" s="87"/>
      <c r="H34" s="8">
        <f>SUM(H29:H33)</f>
        <v>0</v>
      </c>
      <c r="I34" s="8">
        <f>SUM(I29:I33)</f>
        <v>500</v>
      </c>
      <c r="J34" s="9">
        <f t="shared" ref="J34:K34" si="5">SUM(J29:J33)</f>
        <v>0</v>
      </c>
      <c r="K34" s="9">
        <f t="shared" si="5"/>
        <v>0</v>
      </c>
      <c r="L34" s="9">
        <f>SUM(L29:L33)</f>
        <v>0</v>
      </c>
      <c r="M34" s="9">
        <f>SUM(M29:M33)</f>
        <v>500</v>
      </c>
      <c r="N34" s="5"/>
    </row>
    <row r="35" spans="1:14" x14ac:dyDescent="0.25">
      <c r="A35" s="10"/>
      <c r="B35" s="116"/>
      <c r="C35" s="117"/>
      <c r="D35" s="117"/>
      <c r="E35" s="117"/>
      <c r="F35" s="117"/>
      <c r="G35" s="118"/>
      <c r="H35" s="10"/>
      <c r="I35" s="10"/>
      <c r="J35" s="10"/>
      <c r="K35" s="10"/>
      <c r="L35" s="10"/>
      <c r="M35" s="1"/>
      <c r="N35" s="5"/>
    </row>
    <row r="36" spans="1:14" x14ac:dyDescent="0.25">
      <c r="A36" s="10"/>
      <c r="B36" s="11"/>
      <c r="C36" s="11"/>
      <c r="D36" s="11"/>
      <c r="E36" s="11"/>
      <c r="F36" s="11"/>
      <c r="G36" s="11"/>
      <c r="H36" s="10"/>
      <c r="I36" s="10"/>
      <c r="J36" s="10"/>
      <c r="K36" s="10"/>
      <c r="L36" s="10"/>
      <c r="M36" s="1"/>
      <c r="N36" s="5"/>
    </row>
    <row r="37" spans="1:14" x14ac:dyDescent="0.25">
      <c r="A37" s="10"/>
      <c r="B37" s="104" t="s">
        <v>31</v>
      </c>
      <c r="C37" s="81"/>
      <c r="D37" s="81"/>
      <c r="E37" s="81"/>
      <c r="F37" s="81"/>
      <c r="G37" s="82"/>
      <c r="H37" s="3"/>
      <c r="I37" s="3"/>
      <c r="J37" s="3"/>
      <c r="K37" s="4"/>
      <c r="L37" s="3"/>
      <c r="M37" s="5"/>
      <c r="N37" s="5"/>
    </row>
    <row r="38" spans="1:14" x14ac:dyDescent="0.25">
      <c r="A38" s="10"/>
      <c r="B38" s="108"/>
      <c r="C38" s="81"/>
      <c r="D38" s="81"/>
      <c r="E38" s="81"/>
      <c r="F38" s="81"/>
      <c r="G38" s="81"/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5"/>
    </row>
    <row r="39" spans="1:14" x14ac:dyDescent="0.25">
      <c r="A39" s="10"/>
      <c r="B39" s="7" t="s">
        <v>14</v>
      </c>
      <c r="C39" s="105" t="s">
        <v>172</v>
      </c>
      <c r="D39" s="106"/>
      <c r="E39" s="106"/>
      <c r="F39" s="106"/>
      <c r="G39" s="107"/>
      <c r="I39" s="1">
        <v>100</v>
      </c>
      <c r="J39" s="1"/>
      <c r="K39" s="1"/>
      <c r="L39" s="1"/>
      <c r="M39" s="1">
        <f t="shared" ref="M39:M43" si="6">+I39+J39+K39+L39</f>
        <v>100</v>
      </c>
      <c r="N39" s="5"/>
    </row>
    <row r="40" spans="1:14" x14ac:dyDescent="0.25">
      <c r="A40" s="10"/>
      <c r="B40" s="7" t="s">
        <v>15</v>
      </c>
      <c r="C40" s="105" t="s">
        <v>173</v>
      </c>
      <c r="D40" s="106"/>
      <c r="E40" s="106"/>
      <c r="F40" s="106"/>
      <c r="G40" s="107"/>
      <c r="I40" s="1">
        <v>100</v>
      </c>
      <c r="J40" s="1"/>
      <c r="K40" s="1"/>
      <c r="L40" s="1"/>
      <c r="M40" s="1">
        <f t="shared" si="6"/>
        <v>100</v>
      </c>
      <c r="N40" s="5"/>
    </row>
    <row r="41" spans="1:14" x14ac:dyDescent="0.25">
      <c r="A41" s="10"/>
      <c r="B41" s="7" t="s">
        <v>16</v>
      </c>
      <c r="C41" s="105" t="s">
        <v>174</v>
      </c>
      <c r="D41" s="106"/>
      <c r="E41" s="106"/>
      <c r="F41" s="106"/>
      <c r="G41" s="107"/>
      <c r="I41" s="1">
        <v>100</v>
      </c>
      <c r="J41" s="1"/>
      <c r="K41" s="1"/>
      <c r="L41" s="1"/>
      <c r="M41" s="1">
        <f t="shared" si="6"/>
        <v>100</v>
      </c>
      <c r="N41" s="5"/>
    </row>
    <row r="42" spans="1:14" x14ac:dyDescent="0.25">
      <c r="A42" s="10"/>
      <c r="B42" s="7" t="s">
        <v>67</v>
      </c>
      <c r="C42" s="105" t="s">
        <v>175</v>
      </c>
      <c r="D42" s="106"/>
      <c r="E42" s="106"/>
      <c r="F42" s="106"/>
      <c r="G42" s="107"/>
      <c r="I42" s="1">
        <v>100</v>
      </c>
      <c r="J42" s="1"/>
      <c r="K42" s="1"/>
      <c r="L42" s="1"/>
      <c r="M42" s="1">
        <f t="shared" si="6"/>
        <v>100</v>
      </c>
      <c r="N42" s="5"/>
    </row>
    <row r="43" spans="1:14" x14ac:dyDescent="0.25">
      <c r="A43" s="10"/>
      <c r="B43" s="7" t="s">
        <v>68</v>
      </c>
      <c r="C43" s="105" t="s">
        <v>176</v>
      </c>
      <c r="D43" s="106"/>
      <c r="E43" s="106"/>
      <c r="F43" s="106"/>
      <c r="G43" s="107"/>
      <c r="I43" s="1">
        <v>100</v>
      </c>
      <c r="J43" s="1"/>
      <c r="K43" s="1"/>
      <c r="L43" s="1"/>
      <c r="M43" s="1">
        <f t="shared" si="6"/>
        <v>100</v>
      </c>
      <c r="N43" s="5"/>
    </row>
    <row r="44" spans="1:14" x14ac:dyDescent="0.25">
      <c r="A44" s="10"/>
      <c r="B44" s="115"/>
      <c r="C44" s="86"/>
      <c r="D44" s="86"/>
      <c r="E44" s="86"/>
      <c r="F44" s="86"/>
      <c r="G44" s="87"/>
      <c r="H44" s="8">
        <f>SUM(H39:H43)</f>
        <v>0</v>
      </c>
      <c r="I44" s="8">
        <f>SUM(I39:I43)</f>
        <v>500</v>
      </c>
      <c r="J44" s="9">
        <f t="shared" ref="J44:K44" si="7">SUM(J39:J43)</f>
        <v>0</v>
      </c>
      <c r="K44" s="9">
        <f t="shared" si="7"/>
        <v>0</v>
      </c>
      <c r="L44" s="9">
        <f>SUM(L39:L43)</f>
        <v>0</v>
      </c>
      <c r="M44" s="9">
        <f>SUM(M39:M43)</f>
        <v>500</v>
      </c>
      <c r="N44" s="5"/>
    </row>
    <row r="45" spans="1:14" x14ac:dyDescent="0.25">
      <c r="A45" s="10"/>
      <c r="B45" s="116"/>
      <c r="C45" s="117"/>
      <c r="D45" s="117"/>
      <c r="E45" s="117"/>
      <c r="F45" s="117"/>
      <c r="G45" s="118"/>
      <c r="H45" s="10"/>
      <c r="I45" s="10"/>
      <c r="J45" s="10"/>
      <c r="K45" s="10"/>
      <c r="L45" s="10"/>
      <c r="M45" s="1"/>
      <c r="N45" s="5"/>
    </row>
    <row r="46" spans="1:14" x14ac:dyDescent="0.25">
      <c r="A46" s="10"/>
      <c r="B46" s="12" t="s">
        <v>71</v>
      </c>
      <c r="C46" s="12" t="s">
        <v>72</v>
      </c>
      <c r="D46" s="11"/>
      <c r="E46" s="11"/>
      <c r="F46" s="11"/>
      <c r="G46" s="11"/>
      <c r="H46" s="10"/>
      <c r="I46" s="10"/>
      <c r="J46" s="10"/>
      <c r="K46" s="10"/>
      <c r="L46" s="10"/>
      <c r="M46" s="1"/>
      <c r="N46" s="5"/>
    </row>
    <row r="47" spans="1:14" ht="15.75" customHeight="1" x14ac:dyDescent="0.25">
      <c r="C47" s="3" t="s">
        <v>73</v>
      </c>
      <c r="E47" s="1"/>
      <c r="F47" s="1"/>
    </row>
    <row r="48" spans="1:14" ht="15.75" customHeight="1" x14ac:dyDescent="0.25">
      <c r="C48" s="3" t="s">
        <v>74</v>
      </c>
      <c r="E48" s="1"/>
      <c r="F48" s="1"/>
    </row>
    <row r="49" spans="3:14" ht="15.75" customHeight="1" x14ac:dyDescent="0.25">
      <c r="C49" s="3" t="s">
        <v>75</v>
      </c>
      <c r="E49" s="1"/>
      <c r="F49" s="1"/>
    </row>
    <row r="50" spans="3:14" ht="15.75" customHeight="1" x14ac:dyDescent="0.25">
      <c r="C50" s="3"/>
      <c r="E50" s="1"/>
      <c r="F50" s="1"/>
    </row>
    <row r="51" spans="3:14" ht="15.75" customHeight="1" x14ac:dyDescent="0.25">
      <c r="C51" s="3"/>
      <c r="E51" s="1"/>
      <c r="F51" s="1"/>
    </row>
    <row r="52" spans="3:14" ht="15.75" customHeight="1" x14ac:dyDescent="0.25">
      <c r="M52" s="1"/>
      <c r="N52" s="1"/>
    </row>
    <row r="53" spans="3:14" ht="15.75" customHeight="1" x14ac:dyDescent="0.25">
      <c r="M53" s="1"/>
      <c r="N53" s="1"/>
    </row>
    <row r="54" spans="3:14" ht="15.75" customHeight="1" x14ac:dyDescent="0.25">
      <c r="M54" s="1"/>
      <c r="N54" s="1"/>
    </row>
    <row r="55" spans="3:14" ht="15.75" customHeight="1" x14ac:dyDescent="0.25">
      <c r="M55" s="1"/>
      <c r="N55" s="1"/>
    </row>
    <row r="56" spans="3:14" ht="15.75" customHeight="1" x14ac:dyDescent="0.25">
      <c r="M56" s="1"/>
      <c r="N56" s="1"/>
    </row>
    <row r="57" spans="3:14" ht="15.75" customHeight="1" x14ac:dyDescent="0.25">
      <c r="M57" s="1"/>
      <c r="N57" s="1"/>
    </row>
    <row r="58" spans="3:14" ht="15.75" customHeight="1" x14ac:dyDescent="0.25">
      <c r="M58" s="1"/>
      <c r="N58" s="1"/>
    </row>
    <row r="59" spans="3:14" ht="15.75" customHeight="1" x14ac:dyDescent="0.25">
      <c r="M59" s="1"/>
      <c r="N59" s="1"/>
    </row>
    <row r="60" spans="3:14" ht="15.75" customHeight="1" x14ac:dyDescent="0.25">
      <c r="M60" s="1"/>
      <c r="N60" s="1"/>
    </row>
    <row r="61" spans="3:14" ht="15.75" customHeight="1" x14ac:dyDescent="0.25">
      <c r="M61" s="1"/>
      <c r="N61" s="1"/>
    </row>
    <row r="62" spans="3:14" ht="15.75" customHeight="1" x14ac:dyDescent="0.25">
      <c r="M62" s="1"/>
      <c r="N62" s="1"/>
    </row>
    <row r="63" spans="3:14" ht="15.75" customHeight="1" x14ac:dyDescent="0.25">
      <c r="M63" s="1"/>
      <c r="N63" s="1"/>
    </row>
    <row r="64" spans="3:14" ht="15.75" customHeight="1" x14ac:dyDescent="0.25">
      <c r="M64" s="1"/>
      <c r="N64" s="1"/>
    </row>
    <row r="65" spans="13:14" ht="15.75" customHeight="1" x14ac:dyDescent="0.25">
      <c r="M65" s="1"/>
      <c r="N65" s="1"/>
    </row>
    <row r="66" spans="13:14" ht="15.75" customHeight="1" x14ac:dyDescent="0.25">
      <c r="M66" s="1"/>
      <c r="N66" s="1"/>
    </row>
    <row r="67" spans="13:14" ht="15.75" customHeight="1" x14ac:dyDescent="0.25">
      <c r="M67" s="1"/>
      <c r="N67" s="1"/>
    </row>
    <row r="68" spans="13:14" ht="15.75" customHeight="1" x14ac:dyDescent="0.25">
      <c r="M68" s="1"/>
      <c r="N68" s="1"/>
    </row>
    <row r="69" spans="13:14" ht="15.75" customHeight="1" x14ac:dyDescent="0.25">
      <c r="M69" s="1"/>
      <c r="N69" s="1"/>
    </row>
    <row r="70" spans="13:14" ht="15.75" customHeight="1" x14ac:dyDescent="0.25">
      <c r="M70" s="1"/>
      <c r="N70" s="1"/>
    </row>
    <row r="71" spans="13:14" ht="15.75" customHeight="1" x14ac:dyDescent="0.25">
      <c r="M71" s="1"/>
      <c r="N71" s="1"/>
    </row>
    <row r="72" spans="13:14" ht="15.75" customHeight="1" x14ac:dyDescent="0.25">
      <c r="M72" s="1"/>
      <c r="N72" s="1"/>
    </row>
    <row r="73" spans="13:14" ht="15.75" customHeight="1" x14ac:dyDescent="0.25">
      <c r="M73" s="1"/>
      <c r="N73" s="1"/>
    </row>
    <row r="74" spans="13:14" ht="15.75" customHeight="1" x14ac:dyDescent="0.25">
      <c r="M74" s="1"/>
      <c r="N74" s="1"/>
    </row>
    <row r="75" spans="13:14" ht="15.75" customHeight="1" x14ac:dyDescent="0.25">
      <c r="M75" s="1"/>
      <c r="N75" s="1"/>
    </row>
    <row r="76" spans="13:14" ht="15.75" customHeight="1" x14ac:dyDescent="0.25">
      <c r="M76" s="1"/>
      <c r="N76" s="1"/>
    </row>
    <row r="77" spans="13:14" ht="15.75" customHeight="1" x14ac:dyDescent="0.25">
      <c r="M77" s="1"/>
      <c r="N77" s="1"/>
    </row>
    <row r="78" spans="13:14" ht="15.75" customHeight="1" x14ac:dyDescent="0.25">
      <c r="M78" s="1"/>
      <c r="N78" s="1"/>
    </row>
    <row r="79" spans="13:14" ht="15.75" customHeight="1" x14ac:dyDescent="0.25">
      <c r="M79" s="1"/>
      <c r="N79" s="1"/>
    </row>
    <row r="80" spans="1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</sheetData>
  <mergeCells count="37">
    <mergeCell ref="C23:G23"/>
    <mergeCell ref="B8:G8"/>
    <mergeCell ref="C19:G19"/>
    <mergeCell ref="B1:G1"/>
    <mergeCell ref="C2:G2"/>
    <mergeCell ref="C20:G20"/>
    <mergeCell ref="C4:G4"/>
    <mergeCell ref="B14:G15"/>
    <mergeCell ref="C3:G3"/>
    <mergeCell ref="B17:G17"/>
    <mergeCell ref="C11:G11"/>
    <mergeCell ref="C12:G12"/>
    <mergeCell ref="C13:G13"/>
    <mergeCell ref="C10:G10"/>
    <mergeCell ref="B5:G6"/>
    <mergeCell ref="B7:G7"/>
    <mergeCell ref="C32:G32"/>
    <mergeCell ref="B38:G38"/>
    <mergeCell ref="C33:G33"/>
    <mergeCell ref="C40:G40"/>
    <mergeCell ref="C39:G39"/>
    <mergeCell ref="B44:G45"/>
    <mergeCell ref="C31:G31"/>
    <mergeCell ref="B27:G27"/>
    <mergeCell ref="C9:G9"/>
    <mergeCell ref="B18:G18"/>
    <mergeCell ref="B34:G35"/>
    <mergeCell ref="C43:G43"/>
    <mergeCell ref="B28:G28"/>
    <mergeCell ref="C29:G29"/>
    <mergeCell ref="B24:G25"/>
    <mergeCell ref="C30:G30"/>
    <mergeCell ref="C41:G41"/>
    <mergeCell ref="B37:G37"/>
    <mergeCell ref="C21:G21"/>
    <mergeCell ref="C22:G22"/>
    <mergeCell ref="C42:G42"/>
  </mergeCells>
  <pageMargins left="0.23622047244094491" right="0.23622047244094491" top="0.74803149606299213" bottom="0.74803149606299213" header="0" footer="0"/>
  <pageSetup paperSize="9" scale="8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58C5-7249-457A-87D2-AD8313A62769}">
  <dimension ref="A1:N93"/>
  <sheetViews>
    <sheetView topLeftCell="A20" workbookViewId="0">
      <selection activeCell="Q16" sqref="Q16"/>
    </sheetView>
  </sheetViews>
  <sheetFormatPr baseColWidth="10" defaultColWidth="14" defaultRowHeight="15" customHeight="1" x14ac:dyDescent="0.25"/>
  <cols>
    <col min="1" max="1" width="4" customWidth="1"/>
    <col min="2" max="2" width="14.28515625" customWidth="1"/>
    <col min="3" max="3" width="8.7109375" customWidth="1"/>
    <col min="4" max="6" width="11.42578125" customWidth="1"/>
    <col min="7" max="7" width="14.85546875" customWidth="1"/>
    <col min="8" max="8" width="11.42578125" customWidth="1"/>
    <col min="9" max="9" width="15.140625" customWidth="1"/>
    <col min="10" max="13" width="11.42578125" customWidth="1"/>
    <col min="14" max="14" width="10" customWidth="1"/>
  </cols>
  <sheetData>
    <row r="1" spans="1:14" ht="33.75" x14ac:dyDescent="0.5">
      <c r="B1" s="84" t="s">
        <v>0</v>
      </c>
      <c r="C1" s="81"/>
      <c r="D1" s="81"/>
      <c r="E1" s="81"/>
      <c r="F1" s="81"/>
      <c r="G1" s="82"/>
      <c r="M1" s="1"/>
      <c r="N1" s="1"/>
    </row>
    <row r="2" spans="1:14" x14ac:dyDescent="0.25">
      <c r="B2" s="2" t="s">
        <v>1</v>
      </c>
      <c r="C2" s="83" t="s">
        <v>177</v>
      </c>
      <c r="D2" s="81"/>
      <c r="E2" s="81"/>
      <c r="F2" s="81"/>
      <c r="G2" s="82"/>
      <c r="M2" s="1"/>
      <c r="N2" s="1"/>
    </row>
    <row r="3" spans="1:14" x14ac:dyDescent="0.25">
      <c r="B3" s="2" t="s">
        <v>2</v>
      </c>
      <c r="C3" s="83" t="s">
        <v>178</v>
      </c>
      <c r="D3" s="81"/>
      <c r="E3" s="81"/>
      <c r="F3" s="81"/>
      <c r="G3" s="82"/>
      <c r="M3" s="1"/>
      <c r="N3" s="1"/>
    </row>
    <row r="4" spans="1:14" x14ac:dyDescent="0.25">
      <c r="B4" s="2" t="s">
        <v>3</v>
      </c>
      <c r="C4" s="83" t="s">
        <v>128</v>
      </c>
      <c r="D4" s="81"/>
      <c r="E4" s="81"/>
      <c r="F4" s="81"/>
      <c r="G4" s="82"/>
      <c r="M4" s="1"/>
      <c r="N4" s="1"/>
    </row>
    <row r="5" spans="1:14" x14ac:dyDescent="0.25">
      <c r="B5" s="85"/>
      <c r="C5" s="86"/>
      <c r="D5" s="86"/>
      <c r="E5" s="86"/>
      <c r="F5" s="86"/>
      <c r="G5" s="87"/>
      <c r="M5" s="1"/>
      <c r="N5" s="1"/>
    </row>
    <row r="6" spans="1:14" x14ac:dyDescent="0.25">
      <c r="B6" s="88"/>
      <c r="C6" s="89"/>
      <c r="D6" s="89"/>
      <c r="E6" s="89"/>
      <c r="F6" s="89"/>
      <c r="G6" s="90"/>
      <c r="M6" s="1"/>
      <c r="N6" s="1"/>
    </row>
    <row r="7" spans="1:14" ht="15.75" thickBot="1" x14ac:dyDescent="0.3">
      <c r="B7" s="104" t="s">
        <v>179</v>
      </c>
      <c r="C7" s="81"/>
      <c r="D7" s="81"/>
      <c r="E7" s="81"/>
      <c r="F7" s="81"/>
      <c r="G7" s="82"/>
      <c r="H7" s="3" t="s">
        <v>5</v>
      </c>
      <c r="I7" s="3"/>
      <c r="J7" s="3"/>
      <c r="K7" s="4">
        <f>+H14</f>
        <v>389</v>
      </c>
      <c r="L7" s="3">
        <f>+K7/33</f>
        <v>11.787878787878787</v>
      </c>
      <c r="M7" s="5">
        <f>+L7*28</f>
        <v>330.06060606060606</v>
      </c>
      <c r="N7" s="5"/>
    </row>
    <row r="8" spans="1:14" ht="15.75" thickBot="1" x14ac:dyDescent="0.3">
      <c r="B8" s="108"/>
      <c r="C8" s="81"/>
      <c r="D8" s="81"/>
      <c r="E8" s="81"/>
      <c r="F8" s="81"/>
      <c r="G8" s="81"/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  <c r="M8" s="6" t="s">
        <v>11</v>
      </c>
      <c r="N8" s="5"/>
    </row>
    <row r="9" spans="1:14" x14ac:dyDescent="0.25">
      <c r="B9" s="7" t="s">
        <v>12</v>
      </c>
      <c r="C9" s="105" t="s">
        <v>180</v>
      </c>
      <c r="D9" s="106"/>
      <c r="E9" s="106"/>
      <c r="F9" s="106"/>
      <c r="G9" s="107"/>
      <c r="H9">
        <v>143</v>
      </c>
      <c r="I9" s="1">
        <f>+H9/33*28</f>
        <v>121.33333333333333</v>
      </c>
      <c r="J9" s="1">
        <v>0</v>
      </c>
      <c r="K9" s="1">
        <v>0</v>
      </c>
      <c r="L9" s="1">
        <v>50</v>
      </c>
      <c r="M9" s="1">
        <f t="shared" ref="M9:M13" si="0">+I9+J9+K9+L9</f>
        <v>171.33333333333331</v>
      </c>
      <c r="N9" s="5"/>
    </row>
    <row r="10" spans="1:14" x14ac:dyDescent="0.25">
      <c r="B10" s="7" t="s">
        <v>13</v>
      </c>
      <c r="C10" s="105" t="s">
        <v>181</v>
      </c>
      <c r="D10" s="106"/>
      <c r="E10" s="106"/>
      <c r="F10" s="106"/>
      <c r="G10" s="107"/>
      <c r="H10">
        <v>95</v>
      </c>
      <c r="I10" s="1">
        <f t="shared" ref="I10:I13" si="1">+H10/33*28</f>
        <v>80.606060606060609</v>
      </c>
      <c r="J10" s="1">
        <v>0</v>
      </c>
      <c r="K10" s="1">
        <v>0</v>
      </c>
      <c r="L10" s="1">
        <v>50</v>
      </c>
      <c r="M10" s="1">
        <f t="shared" si="0"/>
        <v>130.60606060606062</v>
      </c>
      <c r="N10" s="5"/>
    </row>
    <row r="11" spans="1:14" x14ac:dyDescent="0.25">
      <c r="B11" s="7" t="s">
        <v>16</v>
      </c>
      <c r="C11" s="105" t="s">
        <v>182</v>
      </c>
      <c r="D11" s="106"/>
      <c r="E11" s="106"/>
      <c r="F11" s="106"/>
      <c r="G11" s="107"/>
      <c r="H11">
        <v>81</v>
      </c>
      <c r="I11" s="1">
        <f>+H11/33*28</f>
        <v>68.727272727272734</v>
      </c>
      <c r="J11" s="1">
        <v>0</v>
      </c>
      <c r="K11" s="1">
        <v>0</v>
      </c>
      <c r="L11" s="1">
        <v>50</v>
      </c>
      <c r="M11" s="1">
        <f>+I11+J11+K11+L11</f>
        <v>118.72727272727273</v>
      </c>
      <c r="N11" s="5"/>
    </row>
    <row r="12" spans="1:14" x14ac:dyDescent="0.25">
      <c r="B12" s="7" t="s">
        <v>14</v>
      </c>
      <c r="C12" s="105" t="s">
        <v>183</v>
      </c>
      <c r="D12" s="106"/>
      <c r="E12" s="106"/>
      <c r="F12" s="106"/>
      <c r="G12" s="107"/>
      <c r="H12">
        <v>45</v>
      </c>
      <c r="I12" s="1">
        <f t="shared" si="1"/>
        <v>38.18181818181818</v>
      </c>
      <c r="J12" s="1">
        <v>0</v>
      </c>
      <c r="K12" s="1">
        <v>0</v>
      </c>
      <c r="L12" s="1">
        <v>50</v>
      </c>
      <c r="M12" s="1">
        <f t="shared" si="0"/>
        <v>88.181818181818187</v>
      </c>
      <c r="N12" s="5"/>
    </row>
    <row r="13" spans="1:14" x14ac:dyDescent="0.25">
      <c r="B13" s="7" t="s">
        <v>15</v>
      </c>
      <c r="C13" s="105" t="s">
        <v>184</v>
      </c>
      <c r="D13" s="106"/>
      <c r="E13" s="106"/>
      <c r="F13" s="106"/>
      <c r="G13" s="107"/>
      <c r="H13">
        <v>25</v>
      </c>
      <c r="I13" s="1">
        <f t="shared" si="1"/>
        <v>21.212121212121211</v>
      </c>
      <c r="J13" s="1">
        <v>0</v>
      </c>
      <c r="K13" s="1">
        <v>0</v>
      </c>
      <c r="L13" s="1">
        <v>50</v>
      </c>
      <c r="M13" s="1">
        <f t="shared" si="0"/>
        <v>71.212121212121218</v>
      </c>
      <c r="N13" s="5"/>
    </row>
    <row r="14" spans="1:14" x14ac:dyDescent="0.25">
      <c r="B14" s="115"/>
      <c r="C14" s="86"/>
      <c r="D14" s="86"/>
      <c r="E14" s="86"/>
      <c r="F14" s="86"/>
      <c r="G14" s="87"/>
      <c r="H14" s="8">
        <f t="shared" ref="H14:M14" si="2">SUM(H9:H13)</f>
        <v>389</v>
      </c>
      <c r="I14" s="8">
        <f t="shared" si="2"/>
        <v>330.06060606060606</v>
      </c>
      <c r="J14" s="9">
        <f t="shared" si="2"/>
        <v>0</v>
      </c>
      <c r="K14" s="9">
        <f t="shared" si="2"/>
        <v>0</v>
      </c>
      <c r="L14" s="9">
        <f t="shared" si="2"/>
        <v>250</v>
      </c>
      <c r="M14" s="9">
        <f t="shared" si="2"/>
        <v>580.06060606060612</v>
      </c>
      <c r="N14" s="5"/>
    </row>
    <row r="15" spans="1:14" x14ac:dyDescent="0.25">
      <c r="A15" s="10"/>
      <c r="B15" s="116"/>
      <c r="C15" s="117"/>
      <c r="D15" s="117"/>
      <c r="E15" s="117"/>
      <c r="F15" s="117"/>
      <c r="G15" s="118"/>
      <c r="H15" s="10"/>
      <c r="I15" s="10"/>
      <c r="J15" s="10"/>
      <c r="K15" s="10"/>
      <c r="L15" s="10"/>
      <c r="M15" s="1"/>
      <c r="N15" s="5"/>
    </row>
    <row r="16" spans="1:14" x14ac:dyDescent="0.25">
      <c r="A16" s="10"/>
      <c r="B16" s="11"/>
      <c r="C16" s="11"/>
      <c r="D16" s="11"/>
      <c r="E16" s="11"/>
      <c r="F16" s="11"/>
      <c r="G16" s="11"/>
      <c r="H16" s="10"/>
      <c r="I16" s="10"/>
      <c r="J16" s="10"/>
      <c r="K16" s="10"/>
      <c r="L16" s="10"/>
      <c r="M16" s="1"/>
      <c r="N16" s="5"/>
    </row>
    <row r="17" spans="1:14" ht="15.75" thickBot="1" x14ac:dyDescent="0.3">
      <c r="A17" s="10"/>
      <c r="B17" s="104" t="s">
        <v>185</v>
      </c>
      <c r="C17" s="81"/>
      <c r="D17" s="81"/>
      <c r="E17" s="81"/>
      <c r="F17" s="81"/>
      <c r="G17" s="82"/>
      <c r="H17" s="3" t="s">
        <v>5</v>
      </c>
      <c r="I17" s="3"/>
      <c r="J17" s="3"/>
      <c r="K17" s="4">
        <f>+H24</f>
        <v>678</v>
      </c>
      <c r="L17" s="3">
        <f>+K17/33</f>
        <v>20.545454545454547</v>
      </c>
      <c r="M17" s="5">
        <f>+L17*28</f>
        <v>575.27272727272725</v>
      </c>
      <c r="N17" s="5"/>
    </row>
    <row r="18" spans="1:14" ht="15.75" thickBot="1" x14ac:dyDescent="0.3">
      <c r="A18" s="10"/>
      <c r="B18" s="108"/>
      <c r="C18" s="81"/>
      <c r="D18" s="81"/>
      <c r="E18" s="81"/>
      <c r="F18" s="81"/>
      <c r="G18" s="81"/>
      <c r="H18" s="6" t="s">
        <v>6</v>
      </c>
      <c r="I18" s="6" t="s">
        <v>7</v>
      </c>
      <c r="J18" s="6" t="s">
        <v>8</v>
      </c>
      <c r="K18" s="6" t="s">
        <v>9</v>
      </c>
      <c r="L18" s="6" t="s">
        <v>10</v>
      </c>
      <c r="M18" s="6" t="s">
        <v>11</v>
      </c>
      <c r="N18" s="5"/>
    </row>
    <row r="19" spans="1:14" x14ac:dyDescent="0.25">
      <c r="A19" s="10"/>
      <c r="B19" s="7" t="s">
        <v>12</v>
      </c>
      <c r="C19" s="105" t="s">
        <v>186</v>
      </c>
      <c r="D19" s="106"/>
      <c r="E19" s="106"/>
      <c r="F19" s="106"/>
      <c r="G19" s="107"/>
      <c r="H19">
        <v>190</v>
      </c>
      <c r="I19" s="1">
        <f>+H19/33*28</f>
        <v>161.21212121212122</v>
      </c>
      <c r="J19" s="1">
        <v>0</v>
      </c>
      <c r="K19" s="1">
        <v>0</v>
      </c>
      <c r="L19" s="1">
        <v>50</v>
      </c>
      <c r="M19" s="1">
        <f t="shared" ref="M19:M23" si="3">+I19+J19+K19+L19</f>
        <v>211.21212121212122</v>
      </c>
      <c r="N19" s="5"/>
    </row>
    <row r="20" spans="1:14" x14ac:dyDescent="0.25">
      <c r="A20" s="10"/>
      <c r="B20" s="7" t="s">
        <v>13</v>
      </c>
      <c r="C20" s="105" t="s">
        <v>187</v>
      </c>
      <c r="D20" s="106"/>
      <c r="E20" s="106"/>
      <c r="F20" s="106"/>
      <c r="G20" s="107"/>
      <c r="H20">
        <v>128</v>
      </c>
      <c r="I20" s="1">
        <f t="shared" ref="I20:I23" si="4">+H20/33*28</f>
        <v>108.60606060606061</v>
      </c>
      <c r="J20" s="1">
        <v>0</v>
      </c>
      <c r="K20" s="1">
        <v>0</v>
      </c>
      <c r="L20" s="1">
        <v>50</v>
      </c>
      <c r="M20" s="1">
        <f t="shared" si="3"/>
        <v>158.60606060606062</v>
      </c>
      <c r="N20" s="5"/>
    </row>
    <row r="21" spans="1:14" x14ac:dyDescent="0.25">
      <c r="A21" s="10"/>
      <c r="B21" s="7" t="s">
        <v>14</v>
      </c>
      <c r="C21" s="105" t="s">
        <v>188</v>
      </c>
      <c r="D21" s="106"/>
      <c r="E21" s="106"/>
      <c r="F21" s="106"/>
      <c r="G21" s="107"/>
      <c r="H21">
        <v>162</v>
      </c>
      <c r="I21" s="1">
        <f t="shared" si="4"/>
        <v>137.45454545454547</v>
      </c>
      <c r="J21" s="1">
        <v>0</v>
      </c>
      <c r="K21" s="1">
        <v>0</v>
      </c>
      <c r="L21" s="1">
        <v>50</v>
      </c>
      <c r="M21" s="1">
        <f t="shared" si="3"/>
        <v>187.45454545454547</v>
      </c>
      <c r="N21" s="5"/>
    </row>
    <row r="22" spans="1:14" ht="15" customHeight="1" x14ac:dyDescent="0.25">
      <c r="A22" s="10"/>
      <c r="B22" s="7" t="s">
        <v>15</v>
      </c>
      <c r="C22" s="105" t="s">
        <v>189</v>
      </c>
      <c r="D22" s="106"/>
      <c r="E22" s="106"/>
      <c r="F22" s="106"/>
      <c r="G22" s="107"/>
      <c r="H22">
        <v>91</v>
      </c>
      <c r="I22" s="1">
        <f t="shared" si="4"/>
        <v>77.212121212121218</v>
      </c>
      <c r="J22" s="1">
        <v>0</v>
      </c>
      <c r="K22" s="1">
        <v>0</v>
      </c>
      <c r="L22" s="1">
        <v>50</v>
      </c>
      <c r="M22" s="1">
        <f t="shared" si="3"/>
        <v>127.21212121212122</v>
      </c>
      <c r="N22" s="5"/>
    </row>
    <row r="23" spans="1:14" x14ac:dyDescent="0.25">
      <c r="A23" s="10"/>
      <c r="B23" s="7" t="s">
        <v>16</v>
      </c>
      <c r="C23" s="105" t="s">
        <v>190</v>
      </c>
      <c r="D23" s="106"/>
      <c r="E23" s="106"/>
      <c r="F23" s="106"/>
      <c r="G23" s="107"/>
      <c r="H23">
        <v>107</v>
      </c>
      <c r="I23" s="1">
        <f t="shared" si="4"/>
        <v>90.787878787878782</v>
      </c>
      <c r="J23" s="1">
        <v>0</v>
      </c>
      <c r="K23" s="1">
        <v>0</v>
      </c>
      <c r="L23" s="1">
        <v>50</v>
      </c>
      <c r="M23" s="1">
        <f t="shared" si="3"/>
        <v>140.78787878787878</v>
      </c>
      <c r="N23" s="5"/>
    </row>
    <row r="24" spans="1:14" x14ac:dyDescent="0.25">
      <c r="A24" s="10"/>
      <c r="B24" s="115"/>
      <c r="C24" s="86"/>
      <c r="D24" s="86"/>
      <c r="E24" s="86"/>
      <c r="F24" s="86"/>
      <c r="G24" s="87"/>
      <c r="H24" s="8">
        <f>SUM(H19:H23)</f>
        <v>678</v>
      </c>
      <c r="I24" s="8">
        <f>SUM(I19:I23)</f>
        <v>575.27272727272725</v>
      </c>
      <c r="J24" s="9">
        <f t="shared" ref="J24:K24" si="5">SUM(J19:J23)</f>
        <v>0</v>
      </c>
      <c r="K24" s="9">
        <f t="shared" si="5"/>
        <v>0</v>
      </c>
      <c r="L24" s="9">
        <f>SUM(L19:L23)</f>
        <v>250</v>
      </c>
      <c r="M24" s="9">
        <f>SUM(M19:M23)</f>
        <v>825.27272727272737</v>
      </c>
      <c r="N24" s="5"/>
    </row>
    <row r="25" spans="1:14" x14ac:dyDescent="0.25">
      <c r="A25" s="10"/>
      <c r="B25" s="116"/>
      <c r="C25" s="117"/>
      <c r="D25" s="117"/>
      <c r="E25" s="117"/>
      <c r="F25" s="117"/>
      <c r="G25" s="118"/>
      <c r="H25" s="10"/>
      <c r="I25" s="10"/>
      <c r="J25" s="10"/>
      <c r="K25" s="10"/>
      <c r="L25" s="10"/>
      <c r="M25" s="1"/>
      <c r="N25" s="5"/>
    </row>
    <row r="26" spans="1:14" x14ac:dyDescent="0.25">
      <c r="A26" s="10"/>
      <c r="B26" s="11"/>
      <c r="C26" s="11"/>
      <c r="D26" s="11"/>
      <c r="E26" s="11"/>
      <c r="F26" s="11"/>
      <c r="G26" s="11"/>
      <c r="H26" s="10"/>
      <c r="I26" s="10"/>
      <c r="J26" s="10"/>
      <c r="K26" s="10"/>
      <c r="L26" s="10"/>
      <c r="M26" s="1"/>
      <c r="N26" s="5"/>
    </row>
    <row r="27" spans="1:14" ht="15.75" thickBot="1" x14ac:dyDescent="0.3">
      <c r="A27" s="10"/>
      <c r="B27" s="104" t="s">
        <v>191</v>
      </c>
      <c r="C27" s="81"/>
      <c r="D27" s="81"/>
      <c r="E27" s="81"/>
      <c r="F27" s="81"/>
      <c r="G27" s="82"/>
      <c r="H27" s="3" t="s">
        <v>5</v>
      </c>
      <c r="I27" s="3"/>
      <c r="J27" s="3"/>
      <c r="K27" s="4">
        <f>+H34</f>
        <v>590</v>
      </c>
      <c r="L27" s="3">
        <f>+K27/33</f>
        <v>17.878787878787879</v>
      </c>
      <c r="M27" s="5">
        <f>+L27*28</f>
        <v>500.60606060606062</v>
      </c>
      <c r="N27" s="5"/>
    </row>
    <row r="28" spans="1:14" ht="15.75" thickBot="1" x14ac:dyDescent="0.3">
      <c r="A28" s="10"/>
      <c r="B28" s="108"/>
      <c r="C28" s="81"/>
      <c r="D28" s="81"/>
      <c r="E28" s="81"/>
      <c r="F28" s="81"/>
      <c r="G28" s="81"/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11</v>
      </c>
      <c r="N28" s="5"/>
    </row>
    <row r="29" spans="1:14" x14ac:dyDescent="0.25">
      <c r="A29" s="10"/>
      <c r="B29" s="7" t="s">
        <v>12</v>
      </c>
      <c r="C29" s="105" t="s">
        <v>192</v>
      </c>
      <c r="D29" s="106"/>
      <c r="E29" s="106"/>
      <c r="F29" s="106"/>
      <c r="G29" s="107"/>
      <c r="H29">
        <v>75</v>
      </c>
      <c r="I29" s="1">
        <f>+H29/33*28</f>
        <v>63.63636363636364</v>
      </c>
      <c r="J29" s="1">
        <v>0</v>
      </c>
      <c r="K29" s="1">
        <v>0</v>
      </c>
      <c r="L29" s="1">
        <v>50</v>
      </c>
      <c r="M29" s="1">
        <f t="shared" ref="M29:M33" si="6">+I29+J29+K29+L29</f>
        <v>113.63636363636364</v>
      </c>
      <c r="N29" s="5"/>
    </row>
    <row r="30" spans="1:14" x14ac:dyDescent="0.25">
      <c r="A30" s="10"/>
      <c r="B30" s="7" t="s">
        <v>13</v>
      </c>
      <c r="C30" s="105" t="s">
        <v>193</v>
      </c>
      <c r="D30" s="106"/>
      <c r="E30" s="106"/>
      <c r="F30" s="106"/>
      <c r="G30" s="107"/>
      <c r="H30">
        <v>186</v>
      </c>
      <c r="I30" s="1">
        <f t="shared" ref="I30:I33" si="7">+H30/33*28</f>
        <v>157.81818181818181</v>
      </c>
      <c r="J30" s="1">
        <v>0</v>
      </c>
      <c r="K30" s="1">
        <v>30</v>
      </c>
      <c r="L30" s="1">
        <v>50</v>
      </c>
      <c r="M30" s="1">
        <f t="shared" si="6"/>
        <v>237.81818181818181</v>
      </c>
      <c r="N30" s="5"/>
    </row>
    <row r="31" spans="1:14" x14ac:dyDescent="0.25">
      <c r="A31" s="10"/>
      <c r="B31" s="7" t="s">
        <v>14</v>
      </c>
      <c r="C31" s="105" t="s">
        <v>194</v>
      </c>
      <c r="D31" s="106"/>
      <c r="E31" s="106"/>
      <c r="F31" s="106"/>
      <c r="G31" s="107"/>
      <c r="H31">
        <v>185</v>
      </c>
      <c r="I31" s="1">
        <f t="shared" si="7"/>
        <v>156.96969696969697</v>
      </c>
      <c r="J31" s="1">
        <v>0</v>
      </c>
      <c r="K31" s="1">
        <v>0</v>
      </c>
      <c r="L31" s="1">
        <v>50</v>
      </c>
      <c r="M31" s="1">
        <f t="shared" si="6"/>
        <v>206.96969696969697</v>
      </c>
      <c r="N31" s="5"/>
    </row>
    <row r="32" spans="1:14" x14ac:dyDescent="0.25">
      <c r="A32" s="10"/>
      <c r="B32" s="7" t="s">
        <v>15</v>
      </c>
      <c r="C32" s="105" t="s">
        <v>195</v>
      </c>
      <c r="D32" s="106"/>
      <c r="E32" s="106"/>
      <c r="F32" s="106"/>
      <c r="G32" s="107"/>
      <c r="H32">
        <v>119</v>
      </c>
      <c r="I32" s="1">
        <f t="shared" si="7"/>
        <v>100.96969696969697</v>
      </c>
      <c r="J32" s="1">
        <v>0</v>
      </c>
      <c r="K32" s="1">
        <v>0</v>
      </c>
      <c r="L32" s="1">
        <v>50</v>
      </c>
      <c r="M32" s="1">
        <f t="shared" si="6"/>
        <v>150.96969696969697</v>
      </c>
      <c r="N32" s="5"/>
    </row>
    <row r="33" spans="1:14" x14ac:dyDescent="0.25">
      <c r="A33" s="10"/>
      <c r="B33" s="7" t="s">
        <v>16</v>
      </c>
      <c r="C33" s="105" t="s">
        <v>196</v>
      </c>
      <c r="D33" s="106"/>
      <c r="E33" s="106"/>
      <c r="F33" s="106"/>
      <c r="G33" s="107"/>
      <c r="H33">
        <v>25</v>
      </c>
      <c r="I33" s="1">
        <f t="shared" si="7"/>
        <v>21.212121212121211</v>
      </c>
      <c r="J33" s="1">
        <v>0</v>
      </c>
      <c r="K33" s="1">
        <v>0</v>
      </c>
      <c r="L33" s="1">
        <v>50</v>
      </c>
      <c r="M33" s="1">
        <f t="shared" si="6"/>
        <v>71.212121212121218</v>
      </c>
      <c r="N33" s="5"/>
    </row>
    <row r="34" spans="1:14" x14ac:dyDescent="0.25">
      <c r="A34" s="10"/>
      <c r="B34" s="115"/>
      <c r="C34" s="86"/>
      <c r="D34" s="86"/>
      <c r="E34" s="86"/>
      <c r="F34" s="86"/>
      <c r="G34" s="87"/>
      <c r="H34" s="8">
        <f>SUM(H29:H33)</f>
        <v>590</v>
      </c>
      <c r="I34" s="8">
        <f>SUM(I29:I33)</f>
        <v>500.60606060606057</v>
      </c>
      <c r="J34" s="9">
        <f t="shared" ref="J34:K34" si="8">SUM(J29:J33)</f>
        <v>0</v>
      </c>
      <c r="K34" s="9">
        <f t="shared" si="8"/>
        <v>30</v>
      </c>
      <c r="L34" s="9">
        <f>SUM(L29:L33)</f>
        <v>250</v>
      </c>
      <c r="M34" s="9">
        <f>SUM(M29:M33)</f>
        <v>780.60606060606062</v>
      </c>
      <c r="N34" s="5"/>
    </row>
    <row r="35" spans="1:14" x14ac:dyDescent="0.25">
      <c r="A35" s="10"/>
      <c r="B35" s="116"/>
      <c r="C35" s="117"/>
      <c r="D35" s="117"/>
      <c r="E35" s="117"/>
      <c r="F35" s="117"/>
      <c r="G35" s="118"/>
      <c r="H35" s="10"/>
      <c r="I35" s="10"/>
      <c r="J35" s="10"/>
      <c r="K35" s="10"/>
      <c r="L35" s="10"/>
      <c r="M35" s="1"/>
      <c r="N35" s="5"/>
    </row>
    <row r="36" spans="1:14" x14ac:dyDescent="0.25">
      <c r="A36" s="10"/>
      <c r="B36" s="11"/>
      <c r="C36" s="11"/>
      <c r="D36" s="11"/>
      <c r="E36" s="11"/>
      <c r="F36" s="11"/>
      <c r="G36" s="11"/>
      <c r="H36" s="10"/>
      <c r="I36" s="10"/>
      <c r="J36" s="10"/>
      <c r="K36" s="10"/>
      <c r="L36" s="10"/>
      <c r="M36" s="1"/>
      <c r="N36" s="5"/>
    </row>
    <row r="37" spans="1:14" ht="15.75" thickBot="1" x14ac:dyDescent="0.3">
      <c r="A37" s="10"/>
      <c r="B37" s="104" t="s">
        <v>197</v>
      </c>
      <c r="C37" s="81"/>
      <c r="D37" s="81"/>
      <c r="E37" s="81"/>
      <c r="F37" s="81"/>
      <c r="G37" s="82"/>
      <c r="H37" s="3" t="s">
        <v>5</v>
      </c>
      <c r="I37" s="3"/>
      <c r="J37" s="3"/>
      <c r="K37" s="4">
        <f>+H44</f>
        <v>496</v>
      </c>
      <c r="L37" s="3">
        <f>+K37/33</f>
        <v>15.030303030303031</v>
      </c>
      <c r="M37" s="5">
        <f>+L37*28</f>
        <v>420.84848484848487</v>
      </c>
      <c r="N37" s="5"/>
    </row>
    <row r="38" spans="1:14" ht="15.75" thickBot="1" x14ac:dyDescent="0.3">
      <c r="A38" s="10"/>
      <c r="B38" s="108"/>
      <c r="C38" s="81"/>
      <c r="D38" s="81"/>
      <c r="E38" s="81"/>
      <c r="F38" s="81"/>
      <c r="G38" s="81"/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5"/>
    </row>
    <row r="39" spans="1:14" x14ac:dyDescent="0.25">
      <c r="A39" s="10"/>
      <c r="B39" s="7" t="s">
        <v>12</v>
      </c>
      <c r="C39" s="83" t="s">
        <v>198</v>
      </c>
      <c r="D39" s="81"/>
      <c r="E39" s="81"/>
      <c r="F39" s="81"/>
      <c r="G39" s="82"/>
      <c r="H39">
        <v>80</v>
      </c>
      <c r="I39" s="1">
        <f>+H39/33*28</f>
        <v>67.878787878787875</v>
      </c>
      <c r="J39" s="1">
        <v>150</v>
      </c>
      <c r="K39" s="1"/>
      <c r="L39" s="1">
        <v>85</v>
      </c>
      <c r="M39" s="1">
        <f t="shared" ref="M39:M43" si="9">+I39+J39+K39+L39</f>
        <v>302.87878787878788</v>
      </c>
      <c r="N39" s="5"/>
    </row>
    <row r="40" spans="1:14" x14ac:dyDescent="0.25">
      <c r="A40" s="10"/>
      <c r="B40" s="7" t="s">
        <v>13</v>
      </c>
      <c r="C40" s="83" t="s">
        <v>199</v>
      </c>
      <c r="D40" s="81"/>
      <c r="E40" s="81"/>
      <c r="F40" s="81"/>
      <c r="G40" s="82"/>
      <c r="H40">
        <v>153</v>
      </c>
      <c r="I40" s="1">
        <f t="shared" ref="I40:I43" si="10">+H40/33*28</f>
        <v>129.81818181818181</v>
      </c>
      <c r="J40" s="1">
        <v>150</v>
      </c>
      <c r="K40" s="1"/>
      <c r="L40" s="1">
        <v>120</v>
      </c>
      <c r="M40" s="1">
        <f t="shared" si="9"/>
        <v>399.81818181818181</v>
      </c>
      <c r="N40" s="5"/>
    </row>
    <row r="41" spans="1:14" x14ac:dyDescent="0.25">
      <c r="A41" s="10"/>
      <c r="B41" s="7" t="s">
        <v>14</v>
      </c>
      <c r="C41" s="83" t="s">
        <v>200</v>
      </c>
      <c r="D41" s="81"/>
      <c r="E41" s="81"/>
      <c r="F41" s="81"/>
      <c r="G41" s="82"/>
      <c r="H41">
        <v>58</v>
      </c>
      <c r="I41" s="1">
        <f t="shared" si="10"/>
        <v>49.212121212121211</v>
      </c>
      <c r="J41" s="1">
        <v>150</v>
      </c>
      <c r="K41" s="1"/>
      <c r="L41" s="1">
        <v>120</v>
      </c>
      <c r="M41" s="1">
        <f t="shared" si="9"/>
        <v>319.21212121212125</v>
      </c>
      <c r="N41" s="5"/>
    </row>
    <row r="42" spans="1:14" x14ac:dyDescent="0.25">
      <c r="A42" s="10"/>
      <c r="B42" s="7" t="s">
        <v>15</v>
      </c>
      <c r="C42" s="83" t="s">
        <v>201</v>
      </c>
      <c r="D42" s="81"/>
      <c r="E42" s="81"/>
      <c r="F42" s="81"/>
      <c r="G42" s="82"/>
      <c r="H42">
        <v>180</v>
      </c>
      <c r="I42" s="1">
        <f t="shared" si="10"/>
        <v>152.72727272727272</v>
      </c>
      <c r="J42" s="1">
        <v>0</v>
      </c>
      <c r="K42" s="1"/>
      <c r="L42" s="1">
        <v>85</v>
      </c>
      <c r="M42" s="1">
        <f t="shared" si="9"/>
        <v>237.72727272727272</v>
      </c>
      <c r="N42" s="5"/>
    </row>
    <row r="43" spans="1:14" x14ac:dyDescent="0.25">
      <c r="A43" s="10"/>
      <c r="B43" s="7" t="s">
        <v>16</v>
      </c>
      <c r="C43" s="83" t="s">
        <v>196</v>
      </c>
      <c r="D43" s="81"/>
      <c r="E43" s="81"/>
      <c r="F43" s="81"/>
      <c r="G43" s="82"/>
      <c r="H43">
        <v>25</v>
      </c>
      <c r="I43" s="1">
        <f t="shared" si="10"/>
        <v>21.212121212121211</v>
      </c>
      <c r="J43" s="1">
        <v>0</v>
      </c>
      <c r="K43" s="1"/>
      <c r="L43" s="1">
        <v>50</v>
      </c>
      <c r="M43" s="1">
        <f t="shared" si="9"/>
        <v>71.212121212121218</v>
      </c>
      <c r="N43" s="5"/>
    </row>
    <row r="44" spans="1:14" x14ac:dyDescent="0.25">
      <c r="A44" s="10"/>
      <c r="B44" s="115"/>
      <c r="C44" s="86"/>
      <c r="D44" s="86"/>
      <c r="E44" s="86"/>
      <c r="F44" s="86"/>
      <c r="G44" s="87"/>
      <c r="H44" s="8">
        <f>SUM(H39:H43)</f>
        <v>496</v>
      </c>
      <c r="I44" s="8">
        <f>SUM(I39:I43)</f>
        <v>420.84848484848482</v>
      </c>
      <c r="J44" s="9">
        <f t="shared" ref="J44:K44" si="11">SUM(J39:J43)</f>
        <v>450</v>
      </c>
      <c r="K44" s="9">
        <f t="shared" si="11"/>
        <v>0</v>
      </c>
      <c r="L44" s="9">
        <f>SUM(L39:L43)</f>
        <v>460</v>
      </c>
      <c r="M44" s="9">
        <f>SUM(M39:M43)</f>
        <v>1330.848484848485</v>
      </c>
      <c r="N44" s="5"/>
    </row>
    <row r="45" spans="1:14" x14ac:dyDescent="0.25">
      <c r="A45" s="10"/>
      <c r="B45" s="116"/>
      <c r="C45" s="117"/>
      <c r="D45" s="117"/>
      <c r="E45" s="117"/>
      <c r="F45" s="117"/>
      <c r="G45" s="118"/>
      <c r="H45" s="10"/>
      <c r="I45" s="10"/>
      <c r="J45" s="10"/>
      <c r="K45" s="10"/>
      <c r="L45" s="10"/>
      <c r="M45" s="1"/>
      <c r="N45" s="5"/>
    </row>
    <row r="46" spans="1:14" x14ac:dyDescent="0.25">
      <c r="A46" s="10"/>
      <c r="B46" s="12" t="s">
        <v>71</v>
      </c>
      <c r="C46" s="12" t="s">
        <v>72</v>
      </c>
      <c r="D46" s="11"/>
      <c r="E46" s="11"/>
      <c r="F46" s="11"/>
      <c r="G46" s="11"/>
      <c r="H46" s="10"/>
      <c r="I46" s="10"/>
      <c r="J46" s="10"/>
      <c r="K46" s="10"/>
      <c r="L46" s="10"/>
      <c r="M46" s="1"/>
      <c r="N46" s="5"/>
    </row>
    <row r="47" spans="1:14" ht="15.75" customHeight="1" x14ac:dyDescent="0.25">
      <c r="C47" s="3" t="s">
        <v>73</v>
      </c>
      <c r="E47" s="1"/>
      <c r="F47" s="1"/>
    </row>
    <row r="48" spans="1:14" ht="15.75" customHeight="1" x14ac:dyDescent="0.25">
      <c r="C48" s="3" t="s">
        <v>74</v>
      </c>
      <c r="E48" s="1"/>
      <c r="F48" s="1"/>
    </row>
    <row r="49" spans="3:14" ht="15.75" customHeight="1" x14ac:dyDescent="0.25">
      <c r="C49" s="3" t="s">
        <v>75</v>
      </c>
      <c r="E49" s="1"/>
      <c r="F49" s="1"/>
    </row>
    <row r="50" spans="3:14" ht="15.75" customHeight="1" x14ac:dyDescent="0.25">
      <c r="C50" s="3"/>
      <c r="E50" s="1"/>
      <c r="F50" s="1"/>
    </row>
    <row r="51" spans="3:14" ht="15.75" customHeight="1" x14ac:dyDescent="0.25">
      <c r="C51" s="3"/>
      <c r="E51" s="1"/>
      <c r="F51" s="1"/>
    </row>
    <row r="52" spans="3:14" ht="15.75" customHeight="1" x14ac:dyDescent="0.25">
      <c r="M52" s="1"/>
      <c r="N52" s="1"/>
    </row>
    <row r="53" spans="3:14" ht="15.75" customHeight="1" x14ac:dyDescent="0.25">
      <c r="M53" s="1"/>
      <c r="N53" s="1"/>
    </row>
    <row r="54" spans="3:14" ht="15.75" customHeight="1" x14ac:dyDescent="0.25">
      <c r="M54" s="1"/>
      <c r="N54" s="1"/>
    </row>
    <row r="55" spans="3:14" ht="15.75" customHeight="1" x14ac:dyDescent="0.25">
      <c r="M55" s="1"/>
      <c r="N55" s="1"/>
    </row>
    <row r="56" spans="3:14" ht="15.75" customHeight="1" x14ac:dyDescent="0.25">
      <c r="M56" s="1"/>
      <c r="N56" s="1"/>
    </row>
    <row r="57" spans="3:14" ht="15.75" customHeight="1" x14ac:dyDescent="0.25">
      <c r="M57" s="1"/>
      <c r="N57" s="1"/>
    </row>
    <row r="58" spans="3:14" ht="15.75" customHeight="1" x14ac:dyDescent="0.25">
      <c r="M58" s="1"/>
      <c r="N58" s="1"/>
    </row>
    <row r="59" spans="3:14" ht="15.75" customHeight="1" x14ac:dyDescent="0.25">
      <c r="M59" s="1"/>
      <c r="N59" s="1"/>
    </row>
    <row r="60" spans="3:14" ht="15.75" customHeight="1" x14ac:dyDescent="0.25">
      <c r="M60" s="1"/>
      <c r="N60" s="1"/>
    </row>
    <row r="61" spans="3:14" ht="15.75" customHeight="1" x14ac:dyDescent="0.25">
      <c r="M61" s="1"/>
      <c r="N61" s="1"/>
    </row>
    <row r="62" spans="3:14" ht="15.75" customHeight="1" x14ac:dyDescent="0.25">
      <c r="M62" s="1"/>
      <c r="N62" s="1"/>
    </row>
    <row r="63" spans="3:14" ht="15.75" customHeight="1" x14ac:dyDescent="0.25">
      <c r="M63" s="1"/>
      <c r="N63" s="1"/>
    </row>
    <row r="64" spans="3:14" ht="15.75" customHeight="1" x14ac:dyDescent="0.25">
      <c r="M64" s="1"/>
      <c r="N64" s="1"/>
    </row>
    <row r="65" spans="13:14" ht="15.75" customHeight="1" x14ac:dyDescent="0.25">
      <c r="M65" s="1"/>
      <c r="N65" s="1"/>
    </row>
    <row r="66" spans="13:14" ht="15.75" customHeight="1" x14ac:dyDescent="0.25">
      <c r="M66" s="1"/>
      <c r="N66" s="1"/>
    </row>
    <row r="67" spans="13:14" ht="15.75" customHeight="1" x14ac:dyDescent="0.25">
      <c r="M67" s="1"/>
      <c r="N67" s="1"/>
    </row>
    <row r="68" spans="13:14" ht="15.75" customHeight="1" x14ac:dyDescent="0.25">
      <c r="M68" s="1"/>
      <c r="N68" s="1"/>
    </row>
    <row r="69" spans="13:14" ht="15.75" customHeight="1" x14ac:dyDescent="0.25">
      <c r="M69" s="1"/>
      <c r="N69" s="1"/>
    </row>
    <row r="70" spans="13:14" ht="15.75" customHeight="1" x14ac:dyDescent="0.25">
      <c r="M70" s="1"/>
      <c r="N70" s="1"/>
    </row>
    <row r="71" spans="13:14" ht="15.75" customHeight="1" x14ac:dyDescent="0.25">
      <c r="M71" s="1"/>
      <c r="N71" s="1"/>
    </row>
    <row r="72" spans="13:14" ht="15.75" customHeight="1" x14ac:dyDescent="0.25">
      <c r="M72" s="1"/>
      <c r="N72" s="1"/>
    </row>
    <row r="73" spans="13:14" ht="15.75" customHeight="1" x14ac:dyDescent="0.25">
      <c r="M73" s="1"/>
      <c r="N73" s="1"/>
    </row>
    <row r="74" spans="13:14" ht="15.75" customHeight="1" x14ac:dyDescent="0.25">
      <c r="M74" s="1"/>
      <c r="N74" s="1"/>
    </row>
    <row r="75" spans="13:14" ht="15.75" customHeight="1" x14ac:dyDescent="0.25">
      <c r="M75" s="1"/>
      <c r="N75" s="1"/>
    </row>
    <row r="76" spans="13:14" ht="15.75" customHeight="1" x14ac:dyDescent="0.25">
      <c r="M76" s="1"/>
      <c r="N76" s="1"/>
    </row>
    <row r="77" spans="13:14" ht="15.75" customHeight="1" x14ac:dyDescent="0.25">
      <c r="M77" s="1"/>
      <c r="N77" s="1"/>
    </row>
    <row r="78" spans="13:14" ht="15.75" customHeight="1" x14ac:dyDescent="0.25">
      <c r="M78" s="1"/>
      <c r="N78" s="1"/>
    </row>
    <row r="79" spans="13:14" ht="15.75" customHeight="1" x14ac:dyDescent="0.25">
      <c r="M79" s="1"/>
      <c r="N79" s="1"/>
    </row>
    <row r="80" spans="13:14" ht="15.75" customHeight="1" x14ac:dyDescent="0.25">
      <c r="M80" s="1"/>
      <c r="N80" s="1"/>
    </row>
    <row r="81" spans="13:14" ht="15.75" customHeight="1" x14ac:dyDescent="0.25">
      <c r="M81" s="1"/>
      <c r="N81" s="1"/>
    </row>
    <row r="82" spans="13:14" ht="15.75" customHeight="1" x14ac:dyDescent="0.25">
      <c r="M82" s="1"/>
      <c r="N82" s="1"/>
    </row>
    <row r="83" spans="13:14" ht="15.75" customHeight="1" x14ac:dyDescent="0.25">
      <c r="M83" s="1"/>
      <c r="N83" s="1"/>
    </row>
    <row r="84" spans="13:14" ht="15.75" customHeight="1" x14ac:dyDescent="0.25">
      <c r="M84" s="1"/>
      <c r="N84" s="1"/>
    </row>
    <row r="85" spans="13:14" ht="15.75" customHeight="1" x14ac:dyDescent="0.25">
      <c r="M85" s="1"/>
      <c r="N85" s="1"/>
    </row>
    <row r="86" spans="13:14" ht="15.75" customHeight="1" x14ac:dyDescent="0.25">
      <c r="M86" s="1"/>
      <c r="N86" s="1"/>
    </row>
    <row r="87" spans="13:14" ht="15.75" customHeight="1" x14ac:dyDescent="0.25">
      <c r="M87" s="1"/>
      <c r="N87" s="1"/>
    </row>
    <row r="88" spans="13:14" ht="15.75" customHeight="1" x14ac:dyDescent="0.25">
      <c r="M88" s="1"/>
      <c r="N88" s="1"/>
    </row>
    <row r="89" spans="13:14" ht="15.75" customHeight="1" x14ac:dyDescent="0.25">
      <c r="M89" s="1"/>
      <c r="N89" s="1"/>
    </row>
    <row r="90" spans="13:14" ht="15.75" customHeight="1" x14ac:dyDescent="0.25">
      <c r="M90" s="1"/>
      <c r="N90" s="1"/>
    </row>
    <row r="91" spans="13:14" ht="15.75" customHeight="1" x14ac:dyDescent="0.25">
      <c r="M91" s="1"/>
      <c r="N91" s="1"/>
    </row>
    <row r="92" spans="13:14" ht="15.75" customHeight="1" x14ac:dyDescent="0.25">
      <c r="M92" s="1"/>
      <c r="N92" s="1"/>
    </row>
    <row r="93" spans="13:14" ht="15.75" customHeight="1" x14ac:dyDescent="0.25">
      <c r="M93" s="1"/>
      <c r="N93" s="1"/>
    </row>
  </sheetData>
  <mergeCells count="37">
    <mergeCell ref="C42:G42"/>
    <mergeCell ref="C43:G43"/>
    <mergeCell ref="B44:G45"/>
    <mergeCell ref="B34:G35"/>
    <mergeCell ref="B37:G37"/>
    <mergeCell ref="B38:G38"/>
    <mergeCell ref="C39:G39"/>
    <mergeCell ref="C40:G40"/>
    <mergeCell ref="C41:G41"/>
    <mergeCell ref="C33:G33"/>
    <mergeCell ref="C21:G21"/>
    <mergeCell ref="C22:G22"/>
    <mergeCell ref="C23:G23"/>
    <mergeCell ref="B24:G25"/>
    <mergeCell ref="B27:G27"/>
    <mergeCell ref="B28:G28"/>
    <mergeCell ref="C29:G29"/>
    <mergeCell ref="C30:G30"/>
    <mergeCell ref="C31:G31"/>
    <mergeCell ref="C32:G32"/>
    <mergeCell ref="B14:G15"/>
    <mergeCell ref="B17:G17"/>
    <mergeCell ref="B18:G18"/>
    <mergeCell ref="C19:G19"/>
    <mergeCell ref="C20:G20"/>
    <mergeCell ref="C13:G13"/>
    <mergeCell ref="B1:G1"/>
    <mergeCell ref="C2:G2"/>
    <mergeCell ref="C3:G3"/>
    <mergeCell ref="C4:G4"/>
    <mergeCell ref="B5:G6"/>
    <mergeCell ref="B7:G7"/>
    <mergeCell ref="B8:G8"/>
    <mergeCell ref="C9:G9"/>
    <mergeCell ref="C10:G10"/>
    <mergeCell ref="C11:G11"/>
    <mergeCell ref="C12:G12"/>
  </mergeCells>
  <pageMargins left="0.23622047244094491" right="0.23622047244094491" top="0.74803149606299213" bottom="0.74803149606299213" header="0" footer="0"/>
  <pageSetup paperSize="9" scale="8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6"/>
  <sheetViews>
    <sheetView topLeftCell="A5" workbookViewId="0">
      <selection activeCell="K12" sqref="K12"/>
    </sheetView>
  </sheetViews>
  <sheetFormatPr baseColWidth="10" defaultColWidth="10" defaultRowHeight="15" x14ac:dyDescent="0.25"/>
  <cols>
    <col min="1" max="1" width="3.85546875" customWidth="1"/>
    <col min="14" max="14" width="11.7109375" customWidth="1"/>
  </cols>
  <sheetData>
    <row r="2" spans="1:14" ht="33.75" x14ac:dyDescent="0.5">
      <c r="B2" s="84" t="s">
        <v>0</v>
      </c>
      <c r="C2" s="81"/>
      <c r="D2" s="81"/>
      <c r="E2" s="81"/>
      <c r="F2" s="81"/>
      <c r="G2" s="82"/>
      <c r="H2" t="s">
        <v>24</v>
      </c>
      <c r="M2" s="1"/>
      <c r="N2" s="1"/>
    </row>
    <row r="3" spans="1:14" x14ac:dyDescent="0.25">
      <c r="B3" s="2" t="s">
        <v>1</v>
      </c>
      <c r="C3" s="83"/>
      <c r="D3" s="81"/>
      <c r="E3" s="81"/>
      <c r="F3" s="81"/>
      <c r="G3" s="82"/>
      <c r="M3" s="1"/>
      <c r="N3" s="1"/>
    </row>
    <row r="4" spans="1:14" x14ac:dyDescent="0.25">
      <c r="B4" s="2" t="s">
        <v>2</v>
      </c>
      <c r="C4" s="83" t="s">
        <v>202</v>
      </c>
      <c r="D4" s="81"/>
      <c r="E4" s="81"/>
      <c r="F4" s="81"/>
      <c r="G4" s="82"/>
      <c r="M4" s="1"/>
      <c r="N4" s="1"/>
    </row>
    <row r="5" spans="1:14" x14ac:dyDescent="0.25">
      <c r="B5" s="2" t="s">
        <v>3</v>
      </c>
      <c r="C5" s="83" t="s">
        <v>128</v>
      </c>
      <c r="D5" s="81"/>
      <c r="E5" s="81"/>
      <c r="F5" s="81"/>
      <c r="G5" s="82"/>
      <c r="M5" s="1"/>
      <c r="N5" s="1"/>
    </row>
    <row r="6" spans="1:14" x14ac:dyDescent="0.25">
      <c r="B6" s="85"/>
      <c r="C6" s="86"/>
      <c r="D6" s="86"/>
      <c r="E6" s="86"/>
      <c r="F6" s="86"/>
      <c r="G6" s="87"/>
      <c r="M6" s="1"/>
      <c r="N6" s="1"/>
    </row>
    <row r="7" spans="1:14" x14ac:dyDescent="0.25">
      <c r="B7" s="88"/>
      <c r="C7" s="89"/>
      <c r="D7" s="89"/>
      <c r="E7" s="89"/>
      <c r="F7" s="89"/>
      <c r="G7" s="90"/>
      <c r="M7" s="1"/>
      <c r="N7" s="1"/>
    </row>
    <row r="8" spans="1:14" x14ac:dyDescent="0.25">
      <c r="B8" s="80"/>
      <c r="C8" s="81"/>
      <c r="D8" s="81"/>
      <c r="E8" s="81"/>
      <c r="F8" s="81"/>
      <c r="G8" s="82"/>
      <c r="K8" s="33"/>
      <c r="M8" s="1"/>
      <c r="N8" s="1"/>
    </row>
    <row r="9" spans="1:14" x14ac:dyDescent="0.25">
      <c r="B9" s="91"/>
      <c r="C9" s="81"/>
      <c r="D9" s="81"/>
      <c r="E9" s="81"/>
      <c r="F9" s="81"/>
      <c r="G9" s="81"/>
      <c r="H9" s="6" t="s">
        <v>6</v>
      </c>
      <c r="I9" s="6" t="s">
        <v>7</v>
      </c>
      <c r="J9" s="6" t="s">
        <v>8</v>
      </c>
      <c r="K9" s="6" t="s">
        <v>25</v>
      </c>
      <c r="L9" s="6" t="s">
        <v>10</v>
      </c>
      <c r="M9" s="6" t="s">
        <v>11</v>
      </c>
      <c r="N9" s="34"/>
    </row>
    <row r="10" spans="1:14" x14ac:dyDescent="0.25">
      <c r="B10" s="7" t="s">
        <v>12</v>
      </c>
      <c r="C10" s="92"/>
      <c r="D10" s="93"/>
      <c r="E10" s="93"/>
      <c r="F10" s="93"/>
      <c r="G10" s="94"/>
      <c r="H10" s="11"/>
      <c r="I10" s="1">
        <v>100</v>
      </c>
      <c r="J10" s="1"/>
      <c r="K10" s="1"/>
      <c r="L10" s="1"/>
      <c r="M10" s="1">
        <f>+I10+J10+K10+L10</f>
        <v>100</v>
      </c>
      <c r="N10" s="1"/>
    </row>
    <row r="11" spans="1:14" x14ac:dyDescent="0.25">
      <c r="B11" s="7" t="s">
        <v>13</v>
      </c>
      <c r="C11" s="83"/>
      <c r="D11" s="81"/>
      <c r="E11" s="81"/>
      <c r="F11" s="81"/>
      <c r="G11" s="82"/>
      <c r="I11" s="1">
        <v>100</v>
      </c>
      <c r="J11" s="1"/>
      <c r="K11" s="1"/>
      <c r="L11" s="1"/>
      <c r="M11" s="1">
        <f>+I11+J11+K11+L11</f>
        <v>100</v>
      </c>
      <c r="N11" s="1"/>
    </row>
    <row r="12" spans="1:14" x14ac:dyDescent="0.25">
      <c r="B12" s="7" t="s">
        <v>14</v>
      </c>
      <c r="C12" s="83"/>
      <c r="D12" s="81"/>
      <c r="E12" s="81"/>
      <c r="F12" s="81"/>
      <c r="G12" s="82"/>
      <c r="I12" s="1">
        <v>100</v>
      </c>
      <c r="J12" s="1"/>
      <c r="K12" s="1"/>
      <c r="L12" s="1"/>
      <c r="M12" s="1">
        <f>+I12+J12+K12+L12</f>
        <v>100</v>
      </c>
      <c r="N12" s="1"/>
    </row>
    <row r="13" spans="1:14" x14ac:dyDescent="0.25">
      <c r="B13" s="7" t="s">
        <v>15</v>
      </c>
      <c r="C13" s="83"/>
      <c r="D13" s="81"/>
      <c r="E13" s="81"/>
      <c r="F13" s="81"/>
      <c r="G13" s="82"/>
      <c r="I13" s="1">
        <v>100</v>
      </c>
      <c r="J13" s="1"/>
      <c r="K13" s="1"/>
      <c r="L13" s="1"/>
      <c r="M13" s="1">
        <f>+I13+J13+K13+L13</f>
        <v>100</v>
      </c>
      <c r="N13" s="1"/>
    </row>
    <row r="14" spans="1:14" x14ac:dyDescent="0.25">
      <c r="B14" s="7" t="s">
        <v>16</v>
      </c>
      <c r="C14" s="83"/>
      <c r="D14" s="81"/>
      <c r="E14" s="81"/>
      <c r="F14" s="81"/>
      <c r="G14" s="82"/>
      <c r="H14" s="10"/>
      <c r="I14" s="1">
        <v>100</v>
      </c>
      <c r="J14" s="1"/>
      <c r="K14" s="1"/>
      <c r="L14" s="1"/>
      <c r="M14" s="1">
        <f>+I14+J14+K14+L14</f>
        <v>100</v>
      </c>
      <c r="N14" s="1"/>
    </row>
    <row r="15" spans="1:14" x14ac:dyDescent="0.25">
      <c r="B15" s="95" t="s">
        <v>203</v>
      </c>
      <c r="C15" s="96"/>
      <c r="D15" s="96"/>
      <c r="E15" s="96"/>
      <c r="F15" s="96"/>
      <c r="G15" s="97"/>
      <c r="H15" s="8">
        <f t="shared" ref="H15:L15" si="0">SUM(H10:H14)</f>
        <v>0</v>
      </c>
      <c r="I15" s="9">
        <f t="shared" si="0"/>
        <v>500</v>
      </c>
      <c r="J15" s="9">
        <f t="shared" si="0"/>
        <v>0</v>
      </c>
      <c r="K15" s="9">
        <f t="shared" si="0"/>
        <v>0</v>
      </c>
      <c r="L15" s="9">
        <f t="shared" si="0"/>
        <v>0</v>
      </c>
      <c r="M15" s="9">
        <f>SUM(M10:M14)</f>
        <v>500</v>
      </c>
      <c r="N15" s="1"/>
    </row>
    <row r="16" spans="1:14" ht="33" customHeight="1" x14ac:dyDescent="0.25">
      <c r="A16" s="10"/>
      <c r="B16" s="98"/>
      <c r="C16" s="99"/>
      <c r="D16" s="99"/>
      <c r="E16" s="99"/>
      <c r="F16" s="99"/>
      <c r="G16" s="100"/>
      <c r="H16" s="10"/>
      <c r="I16" s="10"/>
      <c r="M16" s="1"/>
      <c r="N16" s="1"/>
    </row>
  </sheetData>
  <mergeCells count="13">
    <mergeCell ref="B15:G16"/>
    <mergeCell ref="B8:G8"/>
    <mergeCell ref="C12:G12"/>
    <mergeCell ref="C14:G14"/>
    <mergeCell ref="B2:G2"/>
    <mergeCell ref="C3:G3"/>
    <mergeCell ref="C4:G4"/>
    <mergeCell ref="C5:G5"/>
    <mergeCell ref="B6:G7"/>
    <mergeCell ref="B9:G9"/>
    <mergeCell ref="C10:G10"/>
    <mergeCell ref="C11:G11"/>
    <mergeCell ref="C13:G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tabSelected="1" workbookViewId="0">
      <selection activeCell="E21" sqref="E21"/>
    </sheetView>
  </sheetViews>
  <sheetFormatPr baseColWidth="10" defaultColWidth="14" defaultRowHeight="15" customHeight="1" x14ac:dyDescent="0.25"/>
  <cols>
    <col min="1" max="1" width="4.7109375" customWidth="1"/>
    <col min="2" max="2" width="25.140625" customWidth="1"/>
    <col min="3" max="6" width="19.7109375" customWidth="1"/>
    <col min="7" max="7" width="7.7109375" customWidth="1"/>
    <col min="8" max="11" width="9.140625" customWidth="1"/>
  </cols>
  <sheetData>
    <row r="1" spans="1:11" x14ac:dyDescent="0.25">
      <c r="A1" s="14"/>
      <c r="B1" s="14"/>
      <c r="C1" s="14"/>
      <c r="D1" s="15"/>
      <c r="E1" s="15"/>
      <c r="F1" s="14"/>
      <c r="G1" s="14"/>
    </row>
    <row r="2" spans="1:11" x14ac:dyDescent="0.25">
      <c r="A2" s="14"/>
      <c r="B2" s="14"/>
      <c r="C2" s="14"/>
      <c r="D2" s="15"/>
      <c r="E2" s="15"/>
      <c r="F2" s="14"/>
      <c r="G2" s="14"/>
    </row>
    <row r="3" spans="1:11" ht="15.75" x14ac:dyDescent="0.25">
      <c r="A3" s="14"/>
      <c r="B3" s="16"/>
      <c r="C3" s="17" t="s">
        <v>4</v>
      </c>
      <c r="D3" s="17" t="s">
        <v>17</v>
      </c>
      <c r="E3" s="17" t="s">
        <v>22</v>
      </c>
      <c r="F3" s="17" t="s">
        <v>31</v>
      </c>
      <c r="G3" s="18"/>
    </row>
    <row r="4" spans="1:11" ht="15.75" x14ac:dyDescent="0.25">
      <c r="A4" s="14"/>
      <c r="B4" s="19" t="s">
        <v>70</v>
      </c>
      <c r="C4" s="19" t="e">
        <f>+#REF!</f>
        <v>#REF!</v>
      </c>
      <c r="D4" s="19" t="e">
        <f>+#REF!</f>
        <v>#REF!</v>
      </c>
      <c r="E4" s="19" t="e">
        <f>+#REF!</f>
        <v>#REF!</v>
      </c>
      <c r="F4" s="19" t="e">
        <f>+#REF!</f>
        <v>#REF!</v>
      </c>
      <c r="G4" s="20"/>
    </row>
    <row r="5" spans="1:11" ht="15.75" x14ac:dyDescent="0.25">
      <c r="A5" s="14"/>
      <c r="B5" s="21" t="s">
        <v>69</v>
      </c>
      <c r="C5" s="21" t="e">
        <f>+#REF!</f>
        <v>#REF!</v>
      </c>
      <c r="D5" s="21" t="e">
        <f>+#REF!</f>
        <v>#REF!</v>
      </c>
      <c r="E5" s="21" t="e">
        <f>+#REF!</f>
        <v>#REF!</v>
      </c>
      <c r="F5" s="21" t="e">
        <f>+C5</f>
        <v>#REF!</v>
      </c>
      <c r="G5" s="20"/>
    </row>
    <row r="6" spans="1:11" ht="15.75" x14ac:dyDescent="0.25">
      <c r="A6" s="14"/>
      <c r="B6" s="22" t="s">
        <v>66</v>
      </c>
      <c r="C6" s="22">
        <f>+'ALVARO R6'!M14</f>
        <v>500</v>
      </c>
      <c r="D6" s="22">
        <f>+'ALVARO R6'!M24</f>
        <v>500</v>
      </c>
      <c r="E6" s="22">
        <f>+'ALVARO R6'!M34</f>
        <v>1031.878787878788</v>
      </c>
      <c r="F6" s="22">
        <f>+'ALVARO R6'!M44</f>
        <v>500</v>
      </c>
      <c r="G6" s="20"/>
    </row>
    <row r="7" spans="1:11" ht="15.75" x14ac:dyDescent="0.25">
      <c r="A7" s="14"/>
      <c r="B7" s="23" t="s">
        <v>32</v>
      </c>
      <c r="C7" s="23">
        <v>465</v>
      </c>
      <c r="D7" s="23">
        <v>925</v>
      </c>
      <c r="E7" s="23">
        <v>1165</v>
      </c>
      <c r="F7" s="23">
        <v>465</v>
      </c>
      <c r="G7" s="20"/>
      <c r="H7" s="24"/>
      <c r="I7" s="24"/>
      <c r="J7" s="24"/>
      <c r="K7" s="24"/>
    </row>
    <row r="8" spans="1:11" ht="15.75" x14ac:dyDescent="0.25">
      <c r="A8" s="14"/>
      <c r="B8" s="25" t="s">
        <v>3</v>
      </c>
      <c r="C8" s="25">
        <v>0</v>
      </c>
      <c r="D8" s="25">
        <v>0</v>
      </c>
      <c r="E8" s="25">
        <v>0</v>
      </c>
      <c r="F8" s="25">
        <v>0</v>
      </c>
      <c r="G8" s="20"/>
    </row>
    <row r="9" spans="1:11" ht="15.75" x14ac:dyDescent="0.25">
      <c r="A9" s="14"/>
      <c r="B9" s="26"/>
      <c r="C9" s="26" t="e">
        <f>SUM(C4:C8)</f>
        <v>#REF!</v>
      </c>
      <c r="D9" s="26" t="e">
        <f>SUM(D4:D8)</f>
        <v>#REF!</v>
      </c>
      <c r="E9" s="26" t="e">
        <f>SUM(E4:E8)</f>
        <v>#REF!</v>
      </c>
      <c r="F9" s="26" t="e">
        <f>SUM(F4:F8)</f>
        <v>#REF!</v>
      </c>
      <c r="G9" s="27"/>
    </row>
    <row r="10" spans="1:11" ht="15.75" x14ac:dyDescent="0.25">
      <c r="A10" s="14"/>
      <c r="B10" s="28"/>
      <c r="C10" s="28"/>
      <c r="D10" s="28"/>
      <c r="E10" s="28"/>
      <c r="F10" s="28"/>
      <c r="G10" s="20"/>
    </row>
    <row r="11" spans="1:11" ht="15.75" x14ac:dyDescent="0.25">
      <c r="A11" s="14"/>
      <c r="B11" s="29" t="s">
        <v>23</v>
      </c>
      <c r="C11" s="30" t="e">
        <f>8000-C9</f>
        <v>#REF!</v>
      </c>
      <c r="D11" s="30" t="e">
        <f>8000-D9</f>
        <v>#REF!</v>
      </c>
      <c r="E11" s="30" t="e">
        <f>8000-E9</f>
        <v>#REF!</v>
      </c>
      <c r="F11" s="30" t="e">
        <f>8000-F9</f>
        <v>#REF!</v>
      </c>
      <c r="G11" s="31"/>
    </row>
    <row r="12" spans="1:11" x14ac:dyDescent="0.25">
      <c r="A12" s="14"/>
      <c r="B12" s="14"/>
      <c r="C12" s="14"/>
      <c r="D12" s="15"/>
      <c r="E12" s="15"/>
      <c r="F12" s="14"/>
      <c r="G12" s="14"/>
    </row>
    <row r="13" spans="1:11" x14ac:dyDescent="0.25">
      <c r="A13" s="14"/>
      <c r="B13" s="14"/>
      <c r="C13" s="14"/>
      <c r="D13" s="15"/>
      <c r="E13" s="15"/>
      <c r="F13" s="14"/>
      <c r="G13" s="14"/>
    </row>
    <row r="14" spans="1:11" x14ac:dyDescent="0.25">
      <c r="A14" s="14"/>
      <c r="B14" s="14"/>
      <c r="C14" s="14"/>
      <c r="D14" s="15"/>
      <c r="E14" s="15"/>
      <c r="F14" s="14"/>
      <c r="G14" s="14"/>
    </row>
    <row r="18" spans="5:5" x14ac:dyDescent="0.25">
      <c r="E18" s="32"/>
    </row>
    <row r="21" spans="5:5" ht="15.75" customHeight="1" x14ac:dyDescent="0.25"/>
    <row r="22" spans="5:5" ht="15.75" customHeight="1" x14ac:dyDescent="0.25"/>
    <row r="23" spans="5:5" ht="15.75" customHeight="1" x14ac:dyDescent="0.25"/>
    <row r="24" spans="5:5" ht="15.75" customHeight="1" x14ac:dyDescent="0.25"/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57"/>
  <sheetViews>
    <sheetView topLeftCell="A2" workbookViewId="0">
      <selection activeCell="I63" sqref="I63"/>
    </sheetView>
  </sheetViews>
  <sheetFormatPr baseColWidth="10" defaultColWidth="10" defaultRowHeight="15" x14ac:dyDescent="0.25"/>
  <cols>
    <col min="13" max="13" width="15" hidden="1" customWidth="1"/>
  </cols>
  <sheetData>
    <row r="2" spans="1:13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1:13" x14ac:dyDescent="0.25">
      <c r="A3" s="125" t="s">
        <v>41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3" x14ac:dyDescent="0.25">
      <c r="A4" s="152" t="s">
        <v>42</v>
      </c>
      <c r="B4" s="153"/>
      <c r="C4" s="153"/>
      <c r="D4" s="153"/>
      <c r="E4" s="153"/>
      <c r="F4" s="154"/>
      <c r="G4" s="134" t="s">
        <v>5</v>
      </c>
      <c r="H4" s="135"/>
      <c r="I4" s="136"/>
      <c r="J4">
        <v>700</v>
      </c>
      <c r="K4">
        <f>+J4/33</f>
        <v>21.212121212121211</v>
      </c>
      <c r="L4" s="36">
        <f>+K4*28</f>
        <v>593.93939393939388</v>
      </c>
      <c r="M4" s="41">
        <v>930</v>
      </c>
    </row>
    <row r="5" spans="1:13" x14ac:dyDescent="0.25">
      <c r="A5" s="137"/>
      <c r="B5" s="138"/>
      <c r="C5" s="138"/>
      <c r="D5" s="138"/>
      <c r="E5" s="138"/>
      <c r="F5" s="139"/>
      <c r="G5" s="42" t="s">
        <v>6</v>
      </c>
      <c r="H5" s="42" t="s">
        <v>7</v>
      </c>
      <c r="I5" s="42" t="s">
        <v>8</v>
      </c>
      <c r="J5" s="42" t="s">
        <v>25</v>
      </c>
      <c r="K5" s="42" t="s">
        <v>10</v>
      </c>
      <c r="L5" s="43" t="s">
        <v>11</v>
      </c>
      <c r="M5" s="36"/>
    </row>
    <row r="6" spans="1:13" x14ac:dyDescent="0.25">
      <c r="A6" s="37" t="s">
        <v>12</v>
      </c>
      <c r="B6" s="131" t="s">
        <v>26</v>
      </c>
      <c r="C6" s="132"/>
      <c r="D6" s="132"/>
      <c r="E6" s="132"/>
      <c r="F6" s="133"/>
      <c r="G6">
        <v>145</v>
      </c>
      <c r="H6" s="36">
        <f>+G6/33*28</f>
        <v>123.03030303030302</v>
      </c>
      <c r="I6" s="36"/>
      <c r="J6" s="36"/>
      <c r="K6" s="36"/>
      <c r="L6" s="36">
        <f>+H6+I6+J6+K6</f>
        <v>123.03030303030302</v>
      </c>
      <c r="M6" s="36"/>
    </row>
    <row r="7" spans="1:13" x14ac:dyDescent="0.25">
      <c r="A7" s="37" t="s">
        <v>13</v>
      </c>
      <c r="B7" s="131" t="s">
        <v>27</v>
      </c>
      <c r="C7" s="132"/>
      <c r="D7" s="132"/>
      <c r="E7" s="132"/>
      <c r="F7" s="133"/>
      <c r="H7" s="36">
        <f t="shared" ref="H7:H10" si="0">+G7/33*28</f>
        <v>0</v>
      </c>
      <c r="I7" s="36"/>
      <c r="J7" s="36"/>
      <c r="K7" s="36"/>
      <c r="L7" s="36">
        <f t="shared" ref="L7:L10" si="1">+H7+I7+J7+K7</f>
        <v>0</v>
      </c>
      <c r="M7" s="36"/>
    </row>
    <row r="8" spans="1:13" x14ac:dyDescent="0.25">
      <c r="A8" s="37" t="s">
        <v>14</v>
      </c>
      <c r="B8" s="131" t="s">
        <v>28</v>
      </c>
      <c r="C8" s="132"/>
      <c r="D8" s="132"/>
      <c r="E8" s="132"/>
      <c r="F8" s="133"/>
      <c r="G8">
        <v>109</v>
      </c>
      <c r="H8" s="36">
        <f t="shared" si="0"/>
        <v>92.484848484848484</v>
      </c>
      <c r="I8" s="36">
        <v>100</v>
      </c>
      <c r="J8" s="36"/>
      <c r="K8" s="36">
        <v>80</v>
      </c>
      <c r="L8" s="36">
        <f t="shared" si="1"/>
        <v>272.4848484848485</v>
      </c>
      <c r="M8" s="36"/>
    </row>
    <row r="9" spans="1:13" x14ac:dyDescent="0.25">
      <c r="A9" s="37" t="s">
        <v>15</v>
      </c>
      <c r="B9" s="131" t="s">
        <v>29</v>
      </c>
      <c r="C9" s="132"/>
      <c r="D9" s="132"/>
      <c r="E9" s="132"/>
      <c r="F9" s="133"/>
      <c r="G9" s="10">
        <v>38</v>
      </c>
      <c r="H9" s="36">
        <f>+G9/33*28</f>
        <v>32.242424242424242</v>
      </c>
      <c r="I9" s="36">
        <v>100</v>
      </c>
      <c r="J9" s="36"/>
      <c r="K9" s="36">
        <v>80</v>
      </c>
      <c r="L9" s="36">
        <f t="shared" si="1"/>
        <v>212.24242424242425</v>
      </c>
      <c r="M9" s="36"/>
    </row>
    <row r="10" spans="1:13" x14ac:dyDescent="0.25">
      <c r="A10" s="38" t="s">
        <v>16</v>
      </c>
      <c r="B10" s="131" t="s">
        <v>30</v>
      </c>
      <c r="C10" s="132"/>
      <c r="D10" s="132"/>
      <c r="E10" s="132"/>
      <c r="F10" s="133"/>
      <c r="G10" s="10">
        <v>114</v>
      </c>
      <c r="H10" s="36">
        <f t="shared" si="0"/>
        <v>96.727272727272734</v>
      </c>
      <c r="I10" s="36"/>
      <c r="J10" s="36"/>
      <c r="K10" s="36">
        <v>55</v>
      </c>
      <c r="L10" s="36">
        <f t="shared" si="1"/>
        <v>151.72727272727275</v>
      </c>
      <c r="M10" s="36"/>
    </row>
    <row r="11" spans="1:13" x14ac:dyDescent="0.25">
      <c r="A11" s="140"/>
      <c r="B11" s="141"/>
      <c r="C11" s="141"/>
      <c r="D11" s="141"/>
      <c r="E11" s="141"/>
      <c r="F11" s="142"/>
      <c r="G11" s="39">
        <f t="shared" ref="G11:L11" si="2">SUM(G6:G10)</f>
        <v>406</v>
      </c>
      <c r="H11" s="40">
        <f t="shared" si="2"/>
        <v>344.4848484848485</v>
      </c>
      <c r="I11" s="40">
        <f t="shared" si="2"/>
        <v>200</v>
      </c>
      <c r="J11" s="40">
        <f t="shared" si="2"/>
        <v>0</v>
      </c>
      <c r="K11" s="40">
        <f t="shared" si="2"/>
        <v>215</v>
      </c>
      <c r="L11" s="40">
        <f t="shared" si="2"/>
        <v>759.4848484848485</v>
      </c>
      <c r="M11" s="36">
        <f>+L11-200</f>
        <v>559.4848484848485</v>
      </c>
    </row>
    <row r="12" spans="1:13" x14ac:dyDescent="0.25">
      <c r="A12" s="143"/>
      <c r="B12" s="144"/>
      <c r="C12" s="144"/>
      <c r="D12" s="144"/>
      <c r="E12" s="144"/>
      <c r="F12" s="145"/>
      <c r="L12" s="36"/>
      <c r="M12" s="36"/>
    </row>
    <row r="14" spans="1:13" x14ac:dyDescent="0.25">
      <c r="D14" s="3" t="s">
        <v>43</v>
      </c>
    </row>
    <row r="15" spans="1:13" x14ac:dyDescent="0.25">
      <c r="A15" s="104" t="s">
        <v>22</v>
      </c>
      <c r="B15" s="81"/>
      <c r="C15" s="81"/>
      <c r="D15" s="81"/>
      <c r="E15" s="81"/>
      <c r="F15" s="82"/>
      <c r="G15" s="3" t="s">
        <v>5</v>
      </c>
      <c r="H15" s="3"/>
      <c r="I15" s="3"/>
      <c r="J15" s="4">
        <f>+G22</f>
        <v>57.9</v>
      </c>
      <c r="K15" s="3">
        <f>+J15/33</f>
        <v>1.7545454545454544</v>
      </c>
      <c r="L15" s="5">
        <f>+K15*28</f>
        <v>49.127272727272725</v>
      </c>
      <c r="M15" s="5">
        <v>140</v>
      </c>
    </row>
    <row r="16" spans="1:13" x14ac:dyDescent="0.25">
      <c r="A16" s="91"/>
      <c r="B16" s="81"/>
      <c r="C16" s="81"/>
      <c r="D16" s="81"/>
      <c r="E16" s="81"/>
      <c r="F16" s="81"/>
      <c r="G16" s="6" t="s">
        <v>6</v>
      </c>
      <c r="H16" s="6" t="s">
        <v>7</v>
      </c>
      <c r="I16" s="6" t="s">
        <v>8</v>
      </c>
      <c r="J16" s="6" t="s">
        <v>9</v>
      </c>
      <c r="K16" s="6" t="s">
        <v>10</v>
      </c>
      <c r="L16" s="6" t="s">
        <v>11</v>
      </c>
      <c r="M16" s="5"/>
    </row>
    <row r="17" spans="1:13" x14ac:dyDescent="0.25">
      <c r="A17" s="7" t="s">
        <v>12</v>
      </c>
      <c r="B17" s="83" t="s">
        <v>37</v>
      </c>
      <c r="C17" s="81"/>
      <c r="D17" s="81"/>
      <c r="E17" s="81"/>
      <c r="F17" s="82"/>
      <c r="G17">
        <v>1.5</v>
      </c>
      <c r="H17" s="1">
        <f>+G17/33*28</f>
        <v>1.2727272727272727</v>
      </c>
      <c r="I17" s="1"/>
      <c r="J17" s="1"/>
      <c r="K17" s="1"/>
      <c r="L17" s="1">
        <f t="shared" ref="L17:L21" si="3">+H17+I17+J17+K17</f>
        <v>1.2727272727272727</v>
      </c>
      <c r="M17" s="5"/>
    </row>
    <row r="18" spans="1:13" x14ac:dyDescent="0.25">
      <c r="A18" s="7"/>
      <c r="B18" s="83"/>
      <c r="C18" s="81"/>
      <c r="D18" s="81"/>
      <c r="E18" s="81"/>
      <c r="F18" s="82"/>
      <c r="H18" s="1"/>
      <c r="I18" s="1"/>
      <c r="J18" s="1"/>
      <c r="K18" s="1"/>
      <c r="L18" s="1"/>
      <c r="M18" s="5"/>
    </row>
    <row r="19" spans="1:13" x14ac:dyDescent="0.25">
      <c r="A19" s="7" t="s">
        <v>14</v>
      </c>
      <c r="B19" s="83" t="s">
        <v>38</v>
      </c>
      <c r="C19" s="81"/>
      <c r="D19" s="81"/>
      <c r="E19" s="81"/>
      <c r="F19" s="82"/>
      <c r="G19">
        <v>3</v>
      </c>
      <c r="H19" s="1">
        <f t="shared" ref="H19:H21" si="4">+G19/33*28</f>
        <v>2.5454545454545454</v>
      </c>
      <c r="I19" s="1"/>
      <c r="J19" s="1"/>
      <c r="K19" s="1">
        <v>30</v>
      </c>
      <c r="L19" s="1">
        <f t="shared" si="3"/>
        <v>32.545454545454547</v>
      </c>
      <c r="M19" s="5"/>
    </row>
    <row r="20" spans="1:13" x14ac:dyDescent="0.25">
      <c r="A20" s="7" t="s">
        <v>15</v>
      </c>
      <c r="B20" s="83" t="s">
        <v>39</v>
      </c>
      <c r="C20" s="81"/>
      <c r="D20" s="81"/>
      <c r="E20" s="81"/>
      <c r="F20" s="82"/>
      <c r="G20">
        <f>10.2*2</f>
        <v>20.399999999999999</v>
      </c>
      <c r="H20" s="1">
        <f t="shared" si="4"/>
        <v>17.309090909090909</v>
      </c>
      <c r="I20" s="1"/>
      <c r="J20" s="1"/>
      <c r="K20" s="1">
        <v>30</v>
      </c>
      <c r="L20" s="1">
        <f t="shared" si="3"/>
        <v>47.309090909090912</v>
      </c>
      <c r="M20" s="5"/>
    </row>
    <row r="21" spans="1:13" x14ac:dyDescent="0.25">
      <c r="A21" s="7" t="s">
        <v>16</v>
      </c>
      <c r="B21" s="83" t="s">
        <v>40</v>
      </c>
      <c r="C21" s="81"/>
      <c r="D21" s="81"/>
      <c r="E21" s="81"/>
      <c r="F21" s="82"/>
      <c r="G21">
        <f>16.5*2</f>
        <v>33</v>
      </c>
      <c r="H21" s="1">
        <f t="shared" si="4"/>
        <v>28</v>
      </c>
      <c r="I21" s="1"/>
      <c r="J21" s="1"/>
      <c r="K21" s="1">
        <v>30</v>
      </c>
      <c r="L21" s="1">
        <f t="shared" si="3"/>
        <v>58</v>
      </c>
      <c r="M21" s="5"/>
    </row>
    <row r="22" spans="1:13" x14ac:dyDescent="0.25">
      <c r="A22" s="115"/>
      <c r="B22" s="86"/>
      <c r="C22" s="86"/>
      <c r="D22" s="86"/>
      <c r="E22" s="86"/>
      <c r="F22" s="87"/>
      <c r="G22" s="8">
        <f>SUM(G17:G21)</f>
        <v>57.9</v>
      </c>
      <c r="H22" s="8">
        <f>SUM(H17:H21)</f>
        <v>49.127272727272725</v>
      </c>
      <c r="I22" s="9">
        <f t="shared" ref="I22:J22" si="5">SUM(I17:I21)</f>
        <v>0</v>
      </c>
      <c r="J22" s="9">
        <f t="shared" si="5"/>
        <v>0</v>
      </c>
      <c r="K22" s="9">
        <f>SUM(K17:K21)</f>
        <v>90</v>
      </c>
      <c r="L22" s="9">
        <f>SUM(L17:L21)</f>
        <v>139.12727272727273</v>
      </c>
      <c r="M22" s="5"/>
    </row>
    <row r="23" spans="1:13" x14ac:dyDescent="0.25">
      <c r="A23" s="116"/>
      <c r="B23" s="117"/>
      <c r="C23" s="117"/>
      <c r="D23" s="117"/>
      <c r="E23" s="117"/>
      <c r="F23" s="118"/>
      <c r="G23" s="10"/>
      <c r="H23" s="10"/>
      <c r="I23" s="10"/>
      <c r="J23" s="10"/>
      <c r="K23" s="10"/>
      <c r="L23" s="1"/>
      <c r="M23" s="5"/>
    </row>
    <row r="25" spans="1:13" x14ac:dyDescent="0.25">
      <c r="C25" s="3" t="s">
        <v>32</v>
      </c>
    </row>
    <row r="26" spans="1:13" x14ac:dyDescent="0.25">
      <c r="A26" s="80" t="s">
        <v>4</v>
      </c>
      <c r="B26" s="81"/>
      <c r="C26" s="81"/>
      <c r="D26" s="81"/>
      <c r="E26" s="81"/>
      <c r="F26" s="81"/>
      <c r="G26" s="149" t="s">
        <v>5</v>
      </c>
      <c r="H26" s="150"/>
      <c r="I26" s="151"/>
      <c r="J26" s="3">
        <f>50+70+90+90+90+200</f>
        <v>590</v>
      </c>
      <c r="K26" s="3">
        <f>+J26/33</f>
        <v>17.878787878787879</v>
      </c>
      <c r="L26" s="5">
        <f>+K26*28</f>
        <v>500.60606060606062</v>
      </c>
      <c r="M26" s="5">
        <v>465</v>
      </c>
    </row>
    <row r="27" spans="1:13" x14ac:dyDescent="0.25">
      <c r="A27" s="91"/>
      <c r="B27" s="81"/>
      <c r="C27" s="81"/>
      <c r="D27" s="81"/>
      <c r="E27" s="81"/>
      <c r="F27" s="81"/>
      <c r="G27" s="6" t="s">
        <v>6</v>
      </c>
      <c r="H27" s="6" t="s">
        <v>7</v>
      </c>
      <c r="I27" s="6" t="s">
        <v>8</v>
      </c>
      <c r="J27" s="6" t="s">
        <v>9</v>
      </c>
      <c r="K27" s="6" t="s">
        <v>10</v>
      </c>
      <c r="L27" s="44" t="s">
        <v>11</v>
      </c>
      <c r="M27" s="1"/>
    </row>
    <row r="28" spans="1:13" x14ac:dyDescent="0.25">
      <c r="A28" s="7" t="s">
        <v>12</v>
      </c>
      <c r="B28" s="83" t="s">
        <v>18</v>
      </c>
      <c r="C28" s="81"/>
      <c r="D28" s="81"/>
      <c r="E28" s="81"/>
      <c r="F28" s="82"/>
      <c r="G28">
        <v>47</v>
      </c>
      <c r="H28" s="1">
        <f t="shared" ref="H28:H31" si="6">+G28/33*28</f>
        <v>39.878787878787882</v>
      </c>
      <c r="I28" s="1"/>
      <c r="J28" s="1"/>
      <c r="K28" s="1">
        <v>30</v>
      </c>
      <c r="L28" s="1">
        <f t="shared" ref="L28:L32" si="7">+H28+I28+J28+K28</f>
        <v>69.878787878787875</v>
      </c>
      <c r="M28" s="1"/>
    </row>
    <row r="29" spans="1:13" x14ac:dyDescent="0.25">
      <c r="A29" s="7" t="s">
        <v>13</v>
      </c>
      <c r="B29" s="83" t="s">
        <v>19</v>
      </c>
      <c r="C29" s="81"/>
      <c r="D29" s="81"/>
      <c r="E29" s="81"/>
      <c r="F29" s="82"/>
      <c r="G29">
        <v>108</v>
      </c>
      <c r="H29" s="1">
        <f t="shared" si="6"/>
        <v>91.63636363636364</v>
      </c>
      <c r="I29" s="1"/>
      <c r="J29" s="1"/>
      <c r="K29" s="1">
        <v>30</v>
      </c>
      <c r="L29" s="1">
        <f t="shared" si="7"/>
        <v>121.63636363636364</v>
      </c>
      <c r="M29" s="1"/>
    </row>
    <row r="30" spans="1:13" x14ac:dyDescent="0.25">
      <c r="A30" s="7" t="s">
        <v>14</v>
      </c>
      <c r="B30" s="83" t="s">
        <v>20</v>
      </c>
      <c r="C30" s="81"/>
      <c r="D30" s="81"/>
      <c r="E30" s="81"/>
      <c r="F30" s="82"/>
      <c r="G30">
        <v>66</v>
      </c>
      <c r="H30" s="1">
        <f t="shared" si="6"/>
        <v>56</v>
      </c>
      <c r="I30" s="1"/>
      <c r="J30" s="1"/>
      <c r="K30" s="1">
        <v>30</v>
      </c>
      <c r="L30" s="1">
        <f t="shared" si="7"/>
        <v>86</v>
      </c>
      <c r="M30" s="1"/>
    </row>
    <row r="31" spans="1:13" x14ac:dyDescent="0.25">
      <c r="A31" s="7" t="s">
        <v>15</v>
      </c>
      <c r="B31" s="83" t="s">
        <v>21</v>
      </c>
      <c r="C31" s="81"/>
      <c r="D31" s="81"/>
      <c r="E31" s="81"/>
      <c r="F31" s="82"/>
      <c r="G31">
        <v>66</v>
      </c>
      <c r="H31" s="1">
        <f t="shared" si="6"/>
        <v>56</v>
      </c>
      <c r="I31" s="1"/>
      <c r="J31" s="1"/>
      <c r="K31" s="1">
        <v>30</v>
      </c>
      <c r="L31" s="1">
        <f t="shared" si="7"/>
        <v>86</v>
      </c>
      <c r="M31" s="1"/>
    </row>
    <row r="32" spans="1:13" x14ac:dyDescent="0.25">
      <c r="A32" s="7"/>
      <c r="B32" s="83"/>
      <c r="C32" s="81"/>
      <c r="D32" s="81"/>
      <c r="E32" s="81"/>
      <c r="F32" s="82"/>
      <c r="H32" s="1"/>
      <c r="I32" s="1"/>
      <c r="J32" s="1"/>
      <c r="K32" s="1"/>
      <c r="L32" s="1">
        <f t="shared" si="7"/>
        <v>0</v>
      </c>
      <c r="M32" s="1"/>
    </row>
    <row r="33" spans="1:13" x14ac:dyDescent="0.25">
      <c r="A33" s="115"/>
      <c r="B33" s="86"/>
      <c r="C33" s="86"/>
      <c r="D33" s="86"/>
      <c r="E33" s="86"/>
      <c r="F33" s="87"/>
      <c r="G33" s="8">
        <f>SUM(G28:G32)</f>
        <v>287</v>
      </c>
      <c r="H33" s="9">
        <f>SUM(H28:H32)</f>
        <v>243.51515151515153</v>
      </c>
      <c r="I33" s="9">
        <f t="shared" ref="I33:J33" si="8">SUM(I28:I32)</f>
        <v>0</v>
      </c>
      <c r="J33" s="9">
        <f t="shared" si="8"/>
        <v>0</v>
      </c>
      <c r="K33" s="9">
        <f>SUM(K28:K32)</f>
        <v>120</v>
      </c>
      <c r="L33" s="9">
        <f>SUM(L28:L32)</f>
        <v>363.5151515151515</v>
      </c>
      <c r="M33" s="1">
        <v>93</v>
      </c>
    </row>
    <row r="34" spans="1:13" x14ac:dyDescent="0.25">
      <c r="A34" s="88"/>
      <c r="B34" s="89"/>
      <c r="C34" s="89"/>
      <c r="D34" s="89"/>
      <c r="E34" s="89"/>
      <c r="F34" s="90"/>
      <c r="L34" s="1"/>
      <c r="M34" s="1">
        <f>465-M33</f>
        <v>372</v>
      </c>
    </row>
    <row r="37" spans="1:13" x14ac:dyDescent="0.25">
      <c r="A37" s="146" t="s">
        <v>22</v>
      </c>
      <c r="B37" s="147"/>
      <c r="C37" s="147"/>
      <c r="D37" s="147"/>
      <c r="E37" s="147"/>
      <c r="F37" s="148"/>
      <c r="G37" s="10" t="s">
        <v>5</v>
      </c>
      <c r="H37" s="10"/>
      <c r="J37" s="33">
        <f>+G44</f>
        <v>412.49999999999994</v>
      </c>
      <c r="K37">
        <f>+J37/33</f>
        <v>12.499999999999998</v>
      </c>
      <c r="L37" s="1">
        <f>+K37*28</f>
        <v>349.99999999999994</v>
      </c>
    </row>
    <row r="38" spans="1:13" x14ac:dyDescent="0.25">
      <c r="A38" s="126"/>
      <c r="B38" s="127"/>
      <c r="C38" s="127"/>
      <c r="D38" s="127"/>
      <c r="E38" s="127"/>
      <c r="F38" s="128"/>
      <c r="G38" s="6" t="s">
        <v>6</v>
      </c>
      <c r="H38" s="6" t="s">
        <v>7</v>
      </c>
      <c r="I38" s="6" t="s">
        <v>8</v>
      </c>
      <c r="J38" s="6" t="s">
        <v>9</v>
      </c>
      <c r="K38" s="6" t="s">
        <v>10</v>
      </c>
      <c r="L38" s="6" t="s">
        <v>11</v>
      </c>
    </row>
    <row r="39" spans="1:13" x14ac:dyDescent="0.25">
      <c r="A39" s="7" t="s">
        <v>12</v>
      </c>
      <c r="B39" s="92" t="s">
        <v>33</v>
      </c>
      <c r="C39" s="129"/>
      <c r="D39" s="129"/>
      <c r="E39" s="129"/>
      <c r="F39" s="130"/>
      <c r="G39" s="11">
        <v>63</v>
      </c>
      <c r="H39" s="1">
        <f t="shared" ref="H39:H43" si="9">+G39/33*28</f>
        <v>53.454545454545453</v>
      </c>
      <c r="I39" s="1">
        <v>100</v>
      </c>
      <c r="J39" s="1"/>
      <c r="K39" s="1">
        <v>55</v>
      </c>
      <c r="L39" s="1">
        <f>+H39+I39+J39+K39</f>
        <v>208.45454545454544</v>
      </c>
    </row>
    <row r="40" spans="1:13" x14ac:dyDescent="0.25">
      <c r="A40" s="7" t="s">
        <v>13</v>
      </c>
      <c r="B40" s="83" t="s">
        <v>44</v>
      </c>
      <c r="C40" s="81"/>
      <c r="D40" s="81"/>
      <c r="E40" s="81"/>
      <c r="F40" s="82"/>
      <c r="G40">
        <f>59.1*2</f>
        <v>118.2</v>
      </c>
      <c r="H40" s="1">
        <f t="shared" si="9"/>
        <v>100.2909090909091</v>
      </c>
      <c r="I40" s="1"/>
      <c r="J40" s="1"/>
      <c r="K40" s="1">
        <v>25</v>
      </c>
      <c r="L40" s="1">
        <f>+H40+I40+J40+K40</f>
        <v>125.2909090909091</v>
      </c>
    </row>
    <row r="41" spans="1:13" x14ac:dyDescent="0.25">
      <c r="A41" s="7" t="s">
        <v>14</v>
      </c>
      <c r="B41" s="83" t="s">
        <v>35</v>
      </c>
      <c r="C41" s="81"/>
      <c r="D41" s="81"/>
      <c r="E41" s="81"/>
      <c r="F41" s="82"/>
      <c r="G41">
        <v>83</v>
      </c>
      <c r="H41" s="1">
        <f t="shared" si="9"/>
        <v>70.424242424242422</v>
      </c>
      <c r="I41" s="1">
        <v>100</v>
      </c>
      <c r="J41" s="1"/>
      <c r="K41" s="1">
        <v>80</v>
      </c>
      <c r="L41" s="1">
        <f>+H41+I41+J41+K41</f>
        <v>250.42424242424244</v>
      </c>
    </row>
    <row r="42" spans="1:13" x14ac:dyDescent="0.25">
      <c r="A42" s="7" t="s">
        <v>15</v>
      </c>
      <c r="B42" s="83" t="s">
        <v>34</v>
      </c>
      <c r="C42" s="81"/>
      <c r="D42" s="81"/>
      <c r="E42" s="81"/>
      <c r="F42" s="82"/>
      <c r="G42" s="10">
        <v>92.6</v>
      </c>
      <c r="H42" s="1">
        <f t="shared" si="9"/>
        <v>78.569696969696963</v>
      </c>
      <c r="I42" s="1">
        <v>100</v>
      </c>
      <c r="J42" s="1"/>
      <c r="K42" s="1">
        <v>80</v>
      </c>
      <c r="L42" s="1">
        <f>+H42+I42+J42+K42</f>
        <v>258.56969696969696</v>
      </c>
    </row>
    <row r="43" spans="1:13" x14ac:dyDescent="0.25">
      <c r="A43" s="7" t="s">
        <v>16</v>
      </c>
      <c r="B43" s="92" t="s">
        <v>36</v>
      </c>
      <c r="C43" s="93"/>
      <c r="D43" s="93"/>
      <c r="E43" s="93"/>
      <c r="F43" s="94"/>
      <c r="G43" s="10">
        <v>55.7</v>
      </c>
      <c r="H43" s="1">
        <f t="shared" si="9"/>
        <v>47.260606060606065</v>
      </c>
      <c r="I43" s="1"/>
      <c r="J43" s="1"/>
      <c r="K43" s="1">
        <v>55</v>
      </c>
      <c r="L43" s="1">
        <f>+H43+I43+J43+K43</f>
        <v>102.26060606060607</v>
      </c>
    </row>
    <row r="44" spans="1:13" x14ac:dyDescent="0.25">
      <c r="A44" s="115"/>
      <c r="B44" s="86"/>
      <c r="C44" s="86"/>
      <c r="D44" s="86"/>
      <c r="E44" s="86"/>
      <c r="F44" s="87"/>
      <c r="G44" s="8">
        <f t="shared" ref="G44:L44" si="10">SUM(G39:G43)</f>
        <v>412.49999999999994</v>
      </c>
      <c r="H44" s="9">
        <f t="shared" si="10"/>
        <v>350</v>
      </c>
      <c r="I44" s="9">
        <f t="shared" si="10"/>
        <v>300</v>
      </c>
      <c r="J44" s="9">
        <f t="shared" si="10"/>
        <v>0</v>
      </c>
      <c r="K44" s="9">
        <f t="shared" si="10"/>
        <v>295</v>
      </c>
      <c r="L44" s="9">
        <f t="shared" si="10"/>
        <v>945</v>
      </c>
    </row>
    <row r="45" spans="1:13" x14ac:dyDescent="0.25">
      <c r="A45" s="88"/>
      <c r="B45" s="89"/>
      <c r="C45" s="89"/>
      <c r="D45" s="89"/>
      <c r="E45" s="89"/>
      <c r="F45" s="90"/>
      <c r="L45" s="1"/>
    </row>
    <row r="49" spans="1:12" x14ac:dyDescent="0.25">
      <c r="A49" s="157" t="s">
        <v>22</v>
      </c>
      <c r="B49" s="156"/>
      <c r="C49" s="156"/>
      <c r="D49" s="156"/>
      <c r="E49" s="156"/>
      <c r="F49" s="158"/>
      <c r="G49" s="45" t="s">
        <v>5</v>
      </c>
      <c r="H49" s="45"/>
      <c r="I49" s="45"/>
      <c r="J49" s="46">
        <f>+G56</f>
        <v>203.3</v>
      </c>
      <c r="K49" s="45">
        <f>+J49/33</f>
        <v>6.1606060606060611</v>
      </c>
      <c r="L49" s="47">
        <f>+K49*28</f>
        <v>172.4969696969697</v>
      </c>
    </row>
    <row r="50" spans="1:12" x14ac:dyDescent="0.25">
      <c r="A50" s="155"/>
      <c r="B50" s="156"/>
      <c r="C50" s="156"/>
      <c r="D50" s="156"/>
      <c r="E50" s="156"/>
      <c r="F50" s="156"/>
      <c r="G50" s="48" t="s">
        <v>6</v>
      </c>
      <c r="H50" s="48" t="s">
        <v>7</v>
      </c>
      <c r="I50" s="48" t="s">
        <v>8</v>
      </c>
      <c r="J50" s="48" t="s">
        <v>9</v>
      </c>
      <c r="K50" s="48" t="s">
        <v>10</v>
      </c>
      <c r="L50" s="48" t="s">
        <v>11</v>
      </c>
    </row>
    <row r="51" spans="1:12" x14ac:dyDescent="0.25">
      <c r="A51" s="49" t="s">
        <v>12</v>
      </c>
      <c r="B51" s="165" t="s">
        <v>45</v>
      </c>
      <c r="C51" s="156"/>
      <c r="D51" s="156"/>
      <c r="E51" s="156"/>
      <c r="F51" s="158"/>
      <c r="G51" s="50"/>
      <c r="H51" s="51">
        <f>+G51/33*28</f>
        <v>0</v>
      </c>
      <c r="I51" s="51"/>
      <c r="J51" s="51"/>
      <c r="K51" s="51">
        <v>30</v>
      </c>
      <c r="L51" s="51">
        <f>+H51+I51+J51+K51</f>
        <v>30</v>
      </c>
    </row>
    <row r="52" spans="1:12" x14ac:dyDescent="0.25">
      <c r="A52" s="49" t="s">
        <v>13</v>
      </c>
      <c r="B52" s="165"/>
      <c r="C52" s="156"/>
      <c r="D52" s="156"/>
      <c r="E52" s="156"/>
      <c r="F52" s="158"/>
      <c r="G52" s="50"/>
      <c r="H52" s="51">
        <f>+G52/33*28</f>
        <v>0</v>
      </c>
      <c r="I52" s="51"/>
      <c r="J52" s="51"/>
      <c r="K52" s="51"/>
      <c r="L52" s="51">
        <f>+H52+I52+J52+K52</f>
        <v>0</v>
      </c>
    </row>
    <row r="53" spans="1:12" x14ac:dyDescent="0.25">
      <c r="A53" s="49" t="s">
        <v>14</v>
      </c>
      <c r="B53" s="165" t="s">
        <v>46</v>
      </c>
      <c r="C53" s="156"/>
      <c r="D53" s="156"/>
      <c r="E53" s="156"/>
      <c r="F53" s="158"/>
      <c r="G53" s="50">
        <v>109</v>
      </c>
      <c r="H53" s="51">
        <f>+G53/33*28</f>
        <v>92.484848484848484</v>
      </c>
      <c r="I53" s="51"/>
      <c r="J53" s="51"/>
      <c r="K53" s="51">
        <v>30</v>
      </c>
      <c r="L53" s="51">
        <f>+H53+I53+J53+K53</f>
        <v>122.48484848484848</v>
      </c>
    </row>
    <row r="54" spans="1:12" x14ac:dyDescent="0.25">
      <c r="A54" s="49" t="s">
        <v>15</v>
      </c>
      <c r="B54" s="165" t="s">
        <v>47</v>
      </c>
      <c r="C54" s="156"/>
      <c r="D54" s="156"/>
      <c r="E54" s="156"/>
      <c r="F54" s="158"/>
      <c r="G54" s="50">
        <v>48.8</v>
      </c>
      <c r="H54" s="51">
        <f>+G54/33*28</f>
        <v>41.406060606060606</v>
      </c>
      <c r="I54" s="51"/>
      <c r="J54" s="51"/>
      <c r="K54" s="51">
        <v>30</v>
      </c>
      <c r="L54" s="51">
        <f>+H54+I54+J54+K54</f>
        <v>71.406060606060606</v>
      </c>
    </row>
    <row r="55" spans="1:12" x14ac:dyDescent="0.25">
      <c r="A55" s="49" t="s">
        <v>16</v>
      </c>
      <c r="B55" s="165" t="s">
        <v>48</v>
      </c>
      <c r="C55" s="156"/>
      <c r="D55" s="156"/>
      <c r="E55" s="156"/>
      <c r="F55" s="158"/>
      <c r="G55" s="50">
        <v>45.5</v>
      </c>
      <c r="H55" s="51">
        <f>+G55/33*28</f>
        <v>38.606060606060609</v>
      </c>
      <c r="I55" s="51"/>
      <c r="J55" s="51"/>
      <c r="K55" s="51">
        <v>30</v>
      </c>
      <c r="L55" s="51">
        <f>+H55+I55+J55+K55</f>
        <v>68.606060606060609</v>
      </c>
    </row>
    <row r="56" spans="1:12" x14ac:dyDescent="0.25">
      <c r="A56" s="159"/>
      <c r="B56" s="160"/>
      <c r="C56" s="160"/>
      <c r="D56" s="160"/>
      <c r="E56" s="160"/>
      <c r="F56" s="161"/>
      <c r="G56" s="52">
        <f t="shared" ref="G56:L56" si="11">SUM(G51:G55)</f>
        <v>203.3</v>
      </c>
      <c r="H56" s="52">
        <f t="shared" si="11"/>
        <v>172.4969696969697</v>
      </c>
      <c r="I56" s="53">
        <f t="shared" si="11"/>
        <v>0</v>
      </c>
      <c r="J56" s="53">
        <f t="shared" si="11"/>
        <v>0</v>
      </c>
      <c r="K56" s="53">
        <f t="shared" si="11"/>
        <v>120</v>
      </c>
      <c r="L56" s="53">
        <f t="shared" si="11"/>
        <v>292.4969696969697</v>
      </c>
    </row>
    <row r="57" spans="1:12" x14ac:dyDescent="0.25">
      <c r="A57" s="162"/>
      <c r="B57" s="163"/>
      <c r="C57" s="163"/>
      <c r="D57" s="163"/>
      <c r="E57" s="163"/>
      <c r="F57" s="164"/>
      <c r="G57" s="50"/>
      <c r="H57" s="50"/>
      <c r="I57" s="50"/>
      <c r="J57" s="50"/>
      <c r="K57" s="50"/>
      <c r="L57" s="51"/>
    </row>
  </sheetData>
  <mergeCells count="44">
    <mergeCell ref="A56:F57"/>
    <mergeCell ref="B53:F53"/>
    <mergeCell ref="B52:F52"/>
    <mergeCell ref="A44:F45"/>
    <mergeCell ref="B51:F51"/>
    <mergeCell ref="B55:F55"/>
    <mergeCell ref="B54:F54"/>
    <mergeCell ref="A50:F50"/>
    <mergeCell ref="B43:F43"/>
    <mergeCell ref="A49:F49"/>
    <mergeCell ref="B40:F40"/>
    <mergeCell ref="B41:F41"/>
    <mergeCell ref="B42:F42"/>
    <mergeCell ref="G4:I4"/>
    <mergeCell ref="B10:F10"/>
    <mergeCell ref="A5:F5"/>
    <mergeCell ref="A11:F12"/>
    <mergeCell ref="A37:F37"/>
    <mergeCell ref="A26:F26"/>
    <mergeCell ref="B9:F9"/>
    <mergeCell ref="G26:I26"/>
    <mergeCell ref="B7:F7"/>
    <mergeCell ref="B28:F28"/>
    <mergeCell ref="A22:F23"/>
    <mergeCell ref="B8:F8"/>
    <mergeCell ref="B29:F29"/>
    <mergeCell ref="A4:F4"/>
    <mergeCell ref="A16:F16"/>
    <mergeCell ref="A2:L2"/>
    <mergeCell ref="A3:L3"/>
    <mergeCell ref="B17:F17"/>
    <mergeCell ref="A38:F38"/>
    <mergeCell ref="B39:F39"/>
    <mergeCell ref="A27:F27"/>
    <mergeCell ref="B20:F20"/>
    <mergeCell ref="B21:F21"/>
    <mergeCell ref="A33:F34"/>
    <mergeCell ref="B19:F19"/>
    <mergeCell ref="B30:F30"/>
    <mergeCell ref="B31:F31"/>
    <mergeCell ref="B32:F32"/>
    <mergeCell ref="B6:F6"/>
    <mergeCell ref="B18:F18"/>
    <mergeCell ref="A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workbookViewId="0">
      <selection activeCell="M10" sqref="M10"/>
    </sheetView>
  </sheetViews>
  <sheetFormatPr baseColWidth="10" defaultColWidth="10" defaultRowHeight="15" x14ac:dyDescent="0.25"/>
  <cols>
    <col min="1" max="1" width="13.85546875" bestFit="1" customWidth="1"/>
    <col min="2" max="2" width="6.85546875" customWidth="1"/>
    <col min="3" max="3" width="5.28515625" customWidth="1"/>
    <col min="4" max="4" width="6.140625" customWidth="1"/>
    <col min="5" max="5" width="10" customWidth="1"/>
    <col min="6" max="6" width="6.7109375" customWidth="1"/>
    <col min="7" max="8" width="7.140625" customWidth="1"/>
    <col min="9" max="11" width="7.28515625" customWidth="1"/>
  </cols>
  <sheetData>
    <row r="1" spans="1:13" ht="15" customHeight="1" x14ac:dyDescent="0.25">
      <c r="A1" s="167" t="s">
        <v>59</v>
      </c>
      <c r="B1" s="168"/>
      <c r="C1" s="168"/>
      <c r="D1" s="168"/>
      <c r="E1" s="168"/>
      <c r="F1" s="168"/>
      <c r="G1" s="168"/>
      <c r="H1" s="35"/>
      <c r="I1" s="169">
        <v>43922</v>
      </c>
      <c r="J1" s="170"/>
      <c r="K1" s="170"/>
      <c r="L1" s="10"/>
    </row>
    <row r="2" spans="1:13" x14ac:dyDescent="0.25">
      <c r="A2" s="166" t="s">
        <v>60</v>
      </c>
      <c r="B2" s="54" t="s">
        <v>55</v>
      </c>
      <c r="C2" s="54" t="s">
        <v>54</v>
      </c>
      <c r="D2" s="54" t="s">
        <v>55</v>
      </c>
      <c r="E2" s="54" t="s">
        <v>56</v>
      </c>
      <c r="F2" s="54" t="s">
        <v>57</v>
      </c>
      <c r="G2" s="54" t="s">
        <v>58</v>
      </c>
      <c r="H2" s="55" t="s">
        <v>65</v>
      </c>
      <c r="I2" s="55" t="s">
        <v>62</v>
      </c>
      <c r="J2" s="55" t="s">
        <v>63</v>
      </c>
      <c r="K2" s="55" t="s">
        <v>64</v>
      </c>
      <c r="L2" s="54" t="s">
        <v>61</v>
      </c>
    </row>
    <row r="3" spans="1:13" x14ac:dyDescent="0.25">
      <c r="A3" s="166"/>
      <c r="B3" s="56">
        <v>17</v>
      </c>
      <c r="C3" s="57">
        <v>23</v>
      </c>
      <c r="D3" s="57">
        <v>24</v>
      </c>
      <c r="E3" s="57">
        <v>25</v>
      </c>
      <c r="F3" s="57">
        <v>26</v>
      </c>
      <c r="G3" s="57">
        <v>27</v>
      </c>
      <c r="H3" s="57">
        <v>28</v>
      </c>
      <c r="I3" s="57">
        <v>6</v>
      </c>
      <c r="J3" s="57">
        <v>7</v>
      </c>
      <c r="K3" s="57">
        <v>8</v>
      </c>
      <c r="L3" s="54"/>
    </row>
    <row r="4" spans="1:13" x14ac:dyDescent="0.25">
      <c r="A4" s="54" t="s">
        <v>49</v>
      </c>
      <c r="B4" s="57"/>
      <c r="C4" s="57">
        <v>1</v>
      </c>
      <c r="D4" s="57">
        <v>1</v>
      </c>
      <c r="E4" s="57">
        <v>1</v>
      </c>
      <c r="F4" s="57">
        <v>1</v>
      </c>
      <c r="G4" s="57">
        <v>1</v>
      </c>
      <c r="H4" s="57">
        <v>1</v>
      </c>
      <c r="I4" s="57"/>
      <c r="J4" s="57"/>
      <c r="K4" s="57"/>
      <c r="L4" s="54">
        <f>SUM(B4:K4)</f>
        <v>6</v>
      </c>
      <c r="M4" s="58"/>
    </row>
    <row r="5" spans="1:13" x14ac:dyDescent="0.25">
      <c r="A5" s="54" t="s">
        <v>50</v>
      </c>
      <c r="B5" s="57">
        <v>1</v>
      </c>
      <c r="C5" s="57">
        <v>1</v>
      </c>
      <c r="D5" s="57">
        <v>1</v>
      </c>
      <c r="E5" s="57">
        <v>1</v>
      </c>
      <c r="F5" s="57">
        <v>1</v>
      </c>
      <c r="G5" s="57">
        <v>1</v>
      </c>
      <c r="H5" s="57"/>
      <c r="I5" s="57">
        <v>1</v>
      </c>
      <c r="J5" s="57">
        <v>1</v>
      </c>
      <c r="K5" s="57">
        <v>0.5</v>
      </c>
      <c r="L5" s="54">
        <f>SUM(B5:K5)</f>
        <v>8.5</v>
      </c>
      <c r="M5" s="59"/>
    </row>
    <row r="6" spans="1:13" x14ac:dyDescent="0.25">
      <c r="A6" s="60" t="s">
        <v>51</v>
      </c>
      <c r="B6" s="61">
        <v>1</v>
      </c>
      <c r="C6" s="61">
        <v>1</v>
      </c>
      <c r="D6" s="61">
        <v>1</v>
      </c>
      <c r="E6" s="61">
        <v>1</v>
      </c>
      <c r="F6" s="61">
        <v>1</v>
      </c>
      <c r="G6" s="61">
        <v>1</v>
      </c>
      <c r="H6" s="61">
        <v>1</v>
      </c>
      <c r="I6" s="61"/>
      <c r="J6" s="61"/>
      <c r="K6" s="61"/>
      <c r="L6" s="60">
        <f>SUM(B6:K6)</f>
        <v>7</v>
      </c>
      <c r="M6" s="62"/>
    </row>
    <row r="7" spans="1:13" x14ac:dyDescent="0.25">
      <c r="A7" s="54" t="s">
        <v>52</v>
      </c>
      <c r="B7" s="57">
        <v>1</v>
      </c>
      <c r="C7" s="57">
        <v>1</v>
      </c>
      <c r="D7" s="57">
        <v>1</v>
      </c>
      <c r="E7" s="57">
        <v>1</v>
      </c>
      <c r="F7" s="57">
        <v>1</v>
      </c>
      <c r="G7" s="57">
        <v>1</v>
      </c>
      <c r="H7" s="57"/>
      <c r="I7" s="57">
        <v>1</v>
      </c>
      <c r="J7" s="57">
        <v>1</v>
      </c>
      <c r="K7" s="57">
        <v>0.5</v>
      </c>
      <c r="L7" s="54">
        <f>SUM(B7:K7)</f>
        <v>8.5</v>
      </c>
      <c r="M7" s="59"/>
    </row>
    <row r="8" spans="1:13" x14ac:dyDescent="0.25">
      <c r="A8" s="54" t="s">
        <v>53</v>
      </c>
      <c r="B8" s="57">
        <v>1</v>
      </c>
      <c r="C8" s="57">
        <v>1</v>
      </c>
      <c r="D8" s="57">
        <v>1</v>
      </c>
      <c r="E8" s="57">
        <v>1</v>
      </c>
      <c r="F8" s="57">
        <v>1</v>
      </c>
      <c r="G8" s="57">
        <v>1</v>
      </c>
      <c r="H8" s="57">
        <v>1</v>
      </c>
      <c r="I8" s="57">
        <v>1</v>
      </c>
      <c r="J8" s="57">
        <v>1</v>
      </c>
      <c r="K8" s="57">
        <v>0.5</v>
      </c>
      <c r="L8" s="54">
        <f>SUM(B8:K8)</f>
        <v>9.5</v>
      </c>
      <c r="M8" s="59"/>
    </row>
  </sheetData>
  <mergeCells count="3">
    <mergeCell ref="A2:A3"/>
    <mergeCell ref="A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ARMANDO R4</vt:lpstr>
      <vt:lpstr>PAVEL R5</vt:lpstr>
      <vt:lpstr>ALVARO R6</vt:lpstr>
      <vt:lpstr>MARIO R9</vt:lpstr>
      <vt:lpstr>EDGAR R16</vt:lpstr>
      <vt:lpstr>SUPERVISOR R7</vt:lpstr>
      <vt:lpstr>TABLA DE VIATICOS</vt:lpstr>
      <vt:lpstr>VIATICOS DE LA SEMANA </vt:lpstr>
      <vt:lpstr>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228166 - ALISON ELIZABETH SANDOVAL SANDOVAL</cp:lastModifiedBy>
  <dcterms:created xsi:type="dcterms:W3CDTF">2018-07-27T21:53:16Z</dcterms:created>
  <dcterms:modified xsi:type="dcterms:W3CDTF">2026-03-16T16:53:37Z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f7a47141e71f4ac5a9a5bd677f489db2</vt:lpwstr>
  </property>
</Properties>
</file>